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3.xml" ContentType="application/vnd.openxmlformats-officedocument.drawing+xml"/>
  <Override PartName="/xl/ctrlProps/ctrlProp3.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DieseArbeitsmappe"/>
  <mc:AlternateContent xmlns:mc="http://schemas.openxmlformats.org/markup-compatibility/2006">
    <mc:Choice Requires="x15">
      <x15ac:absPath xmlns:x15ac="http://schemas.microsoft.com/office/spreadsheetml/2010/11/ac" url="https://d.docs.live.net/2b66b7aa48e7d0b7/Dokumente/TU München/Masterarbeit/Abgabeordner/1 - Solution concept/"/>
    </mc:Choice>
  </mc:AlternateContent>
  <xr:revisionPtr revIDLastSave="1008" documentId="8_{FFEA7F1E-CB03-4286-A84F-D710E338A0CB}" xr6:coauthVersionLast="47" xr6:coauthVersionMax="47" xr10:uidLastSave="{E4E04E5F-4274-42F5-9398-A1361C9E5DD5}"/>
  <bookViews>
    <workbookView xWindow="-110" yWindow="-110" windowWidth="25820" windowHeight="14020" tabRatio="701" xr2:uid="{00000000-000D-0000-FFFF-FFFF00000000}"/>
  </bookViews>
  <sheets>
    <sheet name="1. &amp; 2. Start" sheetId="4" r:id="rId1"/>
    <sheet name="3. Filtered List" sheetId="9" r:id="rId2"/>
    <sheet name="4. Custom Indicators" sheetId="5" r:id="rId3"/>
    <sheet name="5. Review" sheetId="7" r:id="rId4"/>
    <sheet name="6. Final Set" sheetId="8" r:id="rId5"/>
    <sheet name="3b. Full List" sheetId="1" r:id="rId6"/>
    <sheet name="References" sheetId="2" r:id="rId7"/>
    <sheet name="Filter criteria" sheetId="3" state="hidden" r:id="rId8"/>
  </sheets>
  <definedNames>
    <definedName name="_xlnm._FilterDatabase" localSheetId="1" hidden="1">'3. Filtered List'!$A$3:$X$526</definedName>
    <definedName name="_xlnm._FilterDatabase" localSheetId="5" hidden="1">'3b. Full List'!$A$3:$X$480</definedName>
    <definedName name="_xlnm._FilterDatabase" localSheetId="3" hidden="1">'5. Review'!$A$34:$Y$557</definedName>
    <definedName name="_xlnm._FilterDatabase" localSheetId="6" hidden="1">References!$A$1:$B$83</definedName>
    <definedName name="_xlnm.Extract" localSheetId="1">'3. Filtered List'!$P$537:$S$537</definedName>
    <definedName name="_xlnm.Extract" localSheetId="5">'3b. Full List'!$P$471:$S$471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313" i="1" l="1"/>
  <c r="N314" i="1"/>
  <c r="N315" i="1"/>
  <c r="N316" i="1"/>
  <c r="H80" i="1"/>
  <c r="H81" i="1"/>
  <c r="D69" i="1" l="1"/>
  <c r="H69" i="1"/>
  <c r="N69" i="1"/>
  <c r="D75" i="1"/>
  <c r="H75" i="1"/>
  <c r="N75" i="1"/>
  <c r="N299" i="1"/>
  <c r="N360" i="1"/>
  <c r="N80" i="1"/>
  <c r="N81" i="1"/>
  <c r="D299" i="1"/>
  <c r="D360" i="1"/>
  <c r="D80" i="1"/>
  <c r="D81" i="1"/>
  <c r="H360" i="1"/>
  <c r="H299" i="1"/>
  <c r="N376" i="1"/>
  <c r="H376" i="1"/>
  <c r="D376" i="1"/>
  <c r="H36" i="1"/>
  <c r="D36" i="1"/>
  <c r="N36" i="1"/>
  <c r="H323" i="1"/>
  <c r="D316" i="1"/>
  <c r="D315" i="1"/>
  <c r="D314" i="1"/>
  <c r="D313" i="1"/>
  <c r="H316" i="1"/>
  <c r="H315" i="1"/>
  <c r="H314" i="1"/>
  <c r="H313" i="1"/>
  <c r="D323" i="1"/>
  <c r="N323" i="1"/>
  <c r="N327" i="1"/>
  <c r="H327" i="1"/>
  <c r="D327" i="1"/>
  <c r="D186" i="1"/>
  <c r="H186" i="1"/>
  <c r="N186" i="1"/>
  <c r="H146" i="1"/>
  <c r="D146" i="1"/>
  <c r="N146" i="1"/>
  <c r="D145" i="1"/>
  <c r="H145" i="1"/>
  <c r="N145" i="1"/>
  <c r="H82" i="1" l="1"/>
  <c r="N82" i="1"/>
  <c r="N342" i="1"/>
  <c r="D82" i="1"/>
  <c r="N156" i="1"/>
  <c r="D156" i="1"/>
  <c r="H358" i="1"/>
  <c r="H359" i="1"/>
  <c r="H156" i="1"/>
  <c r="N359" i="1"/>
  <c r="N358" i="1"/>
  <c r="D359" i="1"/>
  <c r="D358" i="1"/>
  <c r="N404" i="1"/>
  <c r="D404" i="1"/>
  <c r="H404" i="1"/>
  <c r="H5" i="5" l="1"/>
  <c r="H6" i="5"/>
  <c r="H7" i="5"/>
  <c r="H8" i="5"/>
  <c r="H9" i="5"/>
  <c r="H10" i="5"/>
  <c r="H11" i="5"/>
  <c r="H12" i="5"/>
  <c r="H13" i="5"/>
  <c r="H14" i="5"/>
  <c r="H15" i="5"/>
  <c r="H16" i="5"/>
  <c r="H17" i="5"/>
  <c r="H18" i="5"/>
  <c r="H19" i="5"/>
  <c r="H20" i="5"/>
  <c r="H21" i="5"/>
  <c r="H22" i="5"/>
  <c r="H23" i="5"/>
  <c r="H24" i="5"/>
  <c r="H25" i="5"/>
  <c r="H26" i="5"/>
  <c r="H27" i="5"/>
  <c r="H28" i="5"/>
  <c r="H29" i="5"/>
  <c r="H30" i="5"/>
  <c r="H31" i="5"/>
  <c r="H32" i="5"/>
  <c r="H33" i="5"/>
  <c r="H34" i="5"/>
  <c r="H35" i="5"/>
  <c r="H36" i="5"/>
  <c r="H37" i="5"/>
  <c r="H38" i="5"/>
  <c r="H39" i="5"/>
  <c r="H40" i="5"/>
  <c r="H41" i="5"/>
  <c r="H42" i="5"/>
  <c r="H43" i="5"/>
  <c r="H44" i="5"/>
  <c r="H45" i="5"/>
  <c r="H46" i="5"/>
  <c r="H47" i="5"/>
  <c r="H48" i="5"/>
  <c r="H49" i="5"/>
  <c r="H50" i="5"/>
  <c r="H51" i="5"/>
  <c r="H52" i="5"/>
  <c r="H53" i="5"/>
  <c r="H54" i="5"/>
  <c r="H55" i="5"/>
  <c r="H56" i="5"/>
  <c r="H57" i="5"/>
  <c r="H58" i="5"/>
  <c r="H59" i="5"/>
  <c r="H60" i="5"/>
  <c r="H61" i="5"/>
  <c r="H62" i="5"/>
  <c r="H63" i="5"/>
  <c r="H64" i="5"/>
  <c r="H65" i="5"/>
  <c r="H66" i="5"/>
  <c r="H67" i="5"/>
  <c r="H68" i="5"/>
  <c r="H69" i="5"/>
  <c r="H70" i="5"/>
  <c r="H71" i="5"/>
  <c r="H72" i="5"/>
  <c r="H73" i="5"/>
  <c r="H74" i="5"/>
  <c r="H75" i="5"/>
  <c r="H76" i="5"/>
  <c r="H77" i="5"/>
  <c r="H78" i="5"/>
  <c r="H79" i="5"/>
  <c r="H80" i="5"/>
  <c r="H81" i="5"/>
  <c r="H82" i="5"/>
  <c r="H83" i="5"/>
  <c r="H84" i="5"/>
  <c r="H85" i="5"/>
  <c r="H86" i="5"/>
  <c r="H87" i="5"/>
  <c r="H88" i="5"/>
  <c r="H89" i="5"/>
  <c r="H90" i="5"/>
  <c r="H91" i="5"/>
  <c r="H92" i="5"/>
  <c r="H93" i="5"/>
  <c r="H94" i="5"/>
  <c r="H95" i="5"/>
  <c r="H96" i="5"/>
  <c r="H97" i="5"/>
  <c r="H98" i="5"/>
  <c r="H99" i="5"/>
  <c r="H100" i="5"/>
  <c r="H101" i="5"/>
  <c r="H102" i="5"/>
  <c r="H103" i="5"/>
  <c r="H104" i="5"/>
  <c r="H105" i="5"/>
  <c r="H106" i="5"/>
  <c r="H107" i="5"/>
  <c r="H108" i="5"/>
  <c r="H109" i="5"/>
  <c r="H110" i="5"/>
  <c r="H111" i="5"/>
  <c r="H112" i="5"/>
  <c r="H113" i="5"/>
  <c r="H114" i="5"/>
  <c r="H115" i="5"/>
  <c r="H116" i="5"/>
  <c r="H117" i="5"/>
  <c r="H118" i="5"/>
  <c r="H119" i="5"/>
  <c r="H120" i="5"/>
  <c r="H121" i="5"/>
  <c r="H122" i="5"/>
  <c r="H123" i="5"/>
  <c r="H124" i="5"/>
  <c r="H125" i="5"/>
  <c r="H126" i="5"/>
  <c r="H127" i="5"/>
  <c r="H128" i="5"/>
  <c r="H129" i="5"/>
  <c r="H130" i="5"/>
  <c r="H131" i="5"/>
  <c r="H132" i="5"/>
  <c r="H133" i="5"/>
  <c r="H134" i="5"/>
  <c r="H135" i="5"/>
  <c r="H136" i="5"/>
  <c r="H137" i="5"/>
  <c r="H138" i="5"/>
  <c r="H139" i="5"/>
  <c r="H140" i="5"/>
  <c r="H141" i="5"/>
  <c r="H142" i="5"/>
  <c r="H143" i="5"/>
  <c r="H144" i="5"/>
  <c r="H145" i="5"/>
  <c r="H146" i="5"/>
  <c r="H147" i="5"/>
  <c r="H148" i="5"/>
  <c r="H149" i="5"/>
  <c r="H150" i="5"/>
  <c r="H151" i="5"/>
  <c r="H152" i="5"/>
  <c r="H153" i="5"/>
  <c r="H154" i="5"/>
  <c r="H155" i="5"/>
  <c r="H156" i="5"/>
  <c r="H157" i="5"/>
  <c r="H158" i="5"/>
  <c r="H159" i="5"/>
  <c r="H160" i="5"/>
  <c r="H161" i="5"/>
  <c r="H162" i="5"/>
  <c r="H163" i="5"/>
  <c r="H164" i="5"/>
  <c r="H165" i="5"/>
  <c r="H166" i="5"/>
  <c r="H167" i="5"/>
  <c r="H168" i="5"/>
  <c r="H169" i="5"/>
  <c r="H170" i="5"/>
  <c r="H171" i="5"/>
  <c r="H172" i="5"/>
  <c r="H173" i="5"/>
  <c r="H174" i="5"/>
  <c r="H175" i="5"/>
  <c r="H176" i="5"/>
  <c r="H177" i="5"/>
  <c r="H178" i="5"/>
  <c r="H179" i="5"/>
  <c r="H180" i="5"/>
  <c r="H181" i="5"/>
  <c r="H182" i="5"/>
  <c r="H183" i="5"/>
  <c r="H184" i="5"/>
  <c r="H185" i="5"/>
  <c r="H186" i="5"/>
  <c r="H187" i="5"/>
  <c r="H188" i="5"/>
  <c r="H189" i="5"/>
  <c r="H190" i="5"/>
  <c r="H191" i="5"/>
  <c r="H192" i="5"/>
  <c r="H193" i="5"/>
  <c r="H194" i="5"/>
  <c r="H195" i="5"/>
  <c r="H196" i="5"/>
  <c r="H197" i="5"/>
  <c r="H198" i="5"/>
  <c r="H199" i="5"/>
  <c r="H200" i="5"/>
  <c r="H201" i="5"/>
  <c r="H202" i="5"/>
  <c r="H203" i="5"/>
  <c r="H204" i="5"/>
  <c r="H205" i="5"/>
  <c r="H206" i="5"/>
  <c r="H207" i="5"/>
  <c r="H208" i="5"/>
  <c r="H209" i="5"/>
  <c r="H210" i="5"/>
  <c r="H211" i="5"/>
  <c r="H212" i="5"/>
  <c r="H213" i="5"/>
  <c r="H214" i="5"/>
  <c r="H215" i="5"/>
  <c r="H216" i="5"/>
  <c r="H217" i="5"/>
  <c r="H218" i="5"/>
  <c r="H219" i="5"/>
  <c r="H220" i="5"/>
  <c r="H221" i="5"/>
  <c r="H222" i="5"/>
  <c r="H223" i="5"/>
  <c r="H224" i="5"/>
  <c r="H225" i="5"/>
  <c r="H226" i="5"/>
  <c r="H227" i="5"/>
  <c r="H228" i="5"/>
  <c r="H229" i="5"/>
  <c r="H230" i="5"/>
  <c r="H231" i="5"/>
  <c r="H232" i="5"/>
  <c r="H233" i="5"/>
  <c r="H234" i="5"/>
  <c r="H235" i="5"/>
  <c r="H236" i="5"/>
  <c r="H237" i="5"/>
  <c r="H238" i="5"/>
  <c r="H239" i="5"/>
  <c r="H240" i="5"/>
  <c r="H241" i="5"/>
  <c r="H242" i="5"/>
  <c r="H243" i="5"/>
  <c r="H244" i="5"/>
  <c r="H245" i="5"/>
  <c r="H246" i="5"/>
  <c r="H247" i="5"/>
  <c r="H248" i="5"/>
  <c r="H249" i="5"/>
  <c r="H250" i="5"/>
  <c r="H251" i="5"/>
  <c r="H252" i="5"/>
  <c r="H253" i="5"/>
  <c r="H254" i="5"/>
  <c r="H255" i="5"/>
  <c r="H256" i="5"/>
  <c r="H257" i="5"/>
  <c r="H258" i="5"/>
  <c r="H259" i="5"/>
  <c r="H260" i="5"/>
  <c r="H261" i="5"/>
  <c r="H262" i="5"/>
  <c r="H263" i="5"/>
  <c r="H264" i="5"/>
  <c r="H265" i="5"/>
  <c r="H266" i="5"/>
  <c r="H267" i="5"/>
  <c r="H268" i="5"/>
  <c r="H269" i="5"/>
  <c r="H270" i="5"/>
  <c r="H271" i="5"/>
  <c r="H272" i="5"/>
  <c r="H273" i="5"/>
  <c r="H274" i="5"/>
  <c r="H275" i="5"/>
  <c r="H276" i="5"/>
  <c r="H277" i="5"/>
  <c r="H278" i="5"/>
  <c r="H279" i="5"/>
  <c r="H280" i="5"/>
  <c r="H281" i="5"/>
  <c r="H282" i="5"/>
  <c r="H283" i="5"/>
  <c r="H284" i="5"/>
  <c r="H285" i="5"/>
  <c r="H286" i="5"/>
  <c r="H287" i="5"/>
  <c r="H288" i="5"/>
  <c r="H289" i="5"/>
  <c r="H290" i="5"/>
  <c r="H291" i="5"/>
  <c r="H292" i="5"/>
  <c r="H293" i="5"/>
  <c r="H294" i="5"/>
  <c r="H295" i="5"/>
  <c r="H296" i="5"/>
  <c r="H297" i="5"/>
  <c r="H298" i="5"/>
  <c r="H299" i="5"/>
  <c r="H300" i="5"/>
  <c r="H301" i="5"/>
  <c r="H302" i="5"/>
  <c r="H303" i="5"/>
  <c r="H304" i="5"/>
  <c r="H305" i="5"/>
  <c r="H306" i="5"/>
  <c r="H307" i="5"/>
  <c r="H308" i="5"/>
  <c r="H309" i="5"/>
  <c r="H310" i="5"/>
  <c r="H311" i="5"/>
  <c r="H312" i="5"/>
  <c r="H313" i="5"/>
  <c r="H314" i="5"/>
  <c r="H315" i="5"/>
  <c r="H316" i="5"/>
  <c r="H317" i="5"/>
  <c r="H318" i="5"/>
  <c r="H319" i="5"/>
  <c r="H320" i="5"/>
  <c r="H321" i="5"/>
  <c r="H322" i="5"/>
  <c r="H323" i="5"/>
  <c r="H324" i="5"/>
  <c r="H325" i="5"/>
  <c r="H326" i="5"/>
  <c r="H327" i="5"/>
  <c r="H328" i="5"/>
  <c r="H329" i="5"/>
  <c r="H330" i="5"/>
  <c r="H331" i="5"/>
  <c r="H332" i="5"/>
  <c r="H333" i="5"/>
  <c r="H334" i="5"/>
  <c r="H335" i="5"/>
  <c r="H336" i="5"/>
  <c r="H337" i="5"/>
  <c r="H338" i="5"/>
  <c r="H339" i="5"/>
  <c r="H340" i="5"/>
  <c r="H341" i="5"/>
  <c r="H342" i="5"/>
  <c r="H343" i="5"/>
  <c r="H344" i="5"/>
  <c r="H345" i="5"/>
  <c r="H346" i="5"/>
  <c r="H347" i="5"/>
  <c r="H348" i="5"/>
  <c r="H349" i="5"/>
  <c r="H350" i="5"/>
  <c r="H351" i="5"/>
  <c r="H352" i="5"/>
  <c r="H353" i="5"/>
  <c r="H354" i="5"/>
  <c r="H355" i="5"/>
  <c r="H356" i="5"/>
  <c r="H357" i="5"/>
  <c r="H358" i="5"/>
  <c r="H359" i="5"/>
  <c r="H360" i="5"/>
  <c r="H361" i="5"/>
  <c r="H362" i="5"/>
  <c r="H363" i="5"/>
  <c r="H364" i="5"/>
  <c r="H365" i="5"/>
  <c r="H366" i="5"/>
  <c r="H367" i="5"/>
  <c r="H368" i="5"/>
  <c r="H369" i="5"/>
  <c r="H370" i="5"/>
  <c r="H371" i="5"/>
  <c r="H372" i="5"/>
  <c r="H373" i="5"/>
  <c r="H374" i="5"/>
  <c r="H375" i="5"/>
  <c r="H376" i="5"/>
  <c r="H377" i="5"/>
  <c r="H378" i="5"/>
  <c r="H379" i="5"/>
  <c r="H380" i="5"/>
  <c r="H381" i="5"/>
  <c r="H382" i="5"/>
  <c r="H383" i="5"/>
  <c r="H384" i="5"/>
  <c r="H385" i="5"/>
  <c r="H386" i="5"/>
  <c r="H387" i="5"/>
  <c r="H388" i="5"/>
  <c r="H389" i="5"/>
  <c r="H390" i="5"/>
  <c r="H391" i="5"/>
  <c r="H392" i="5"/>
  <c r="H393" i="5"/>
  <c r="H394" i="5"/>
  <c r="H395" i="5"/>
  <c r="H396" i="5"/>
  <c r="H397" i="5"/>
  <c r="H398" i="5"/>
  <c r="H399" i="5"/>
  <c r="H400" i="5"/>
  <c r="H401" i="5"/>
  <c r="H402" i="5"/>
  <c r="H403" i="5"/>
  <c r="H404" i="5"/>
  <c r="H405" i="5"/>
  <c r="H406" i="5"/>
  <c r="H407" i="5"/>
  <c r="H408" i="5"/>
  <c r="H409" i="5"/>
  <c r="H410" i="5"/>
  <c r="H411" i="5"/>
  <c r="H412" i="5"/>
  <c r="H413" i="5"/>
  <c r="H414" i="5"/>
  <c r="H415" i="5"/>
  <c r="H416" i="5"/>
  <c r="H417" i="5"/>
  <c r="H418" i="5"/>
  <c r="H419" i="5"/>
  <c r="H420" i="5"/>
  <c r="H421" i="5"/>
  <c r="H422" i="5"/>
  <c r="H423" i="5"/>
  <c r="H424" i="5"/>
  <c r="H425" i="5"/>
  <c r="H426" i="5"/>
  <c r="H427" i="5"/>
  <c r="H428" i="5"/>
  <c r="H429" i="5"/>
  <c r="H430" i="5"/>
  <c r="H431" i="5"/>
  <c r="H432" i="5"/>
  <c r="H433" i="5"/>
  <c r="H434" i="5"/>
  <c r="H435" i="5"/>
  <c r="H436" i="5"/>
  <c r="H437" i="5"/>
  <c r="H438" i="5"/>
  <c r="H439" i="5"/>
  <c r="H440" i="5"/>
  <c r="H441" i="5"/>
  <c r="H442" i="5"/>
  <c r="H443" i="5"/>
  <c r="H444" i="5"/>
  <c r="H445" i="5"/>
  <c r="H446" i="5"/>
  <c r="H447" i="5"/>
  <c r="H448" i="5"/>
  <c r="H449" i="5"/>
  <c r="H450" i="5"/>
  <c r="H451" i="5"/>
  <c r="H452" i="5"/>
  <c r="H453" i="5"/>
  <c r="H454" i="5"/>
  <c r="H455" i="5"/>
  <c r="H456" i="5"/>
  <c r="H457" i="5"/>
  <c r="H458" i="5"/>
  <c r="H459" i="5"/>
  <c r="H460" i="5"/>
  <c r="H461" i="5"/>
  <c r="H462" i="5"/>
  <c r="H463" i="5"/>
  <c r="H464" i="5"/>
  <c r="H465" i="5"/>
  <c r="H466" i="5"/>
  <c r="H467" i="5"/>
  <c r="H468" i="5"/>
  <c r="H469" i="5"/>
  <c r="H470" i="5"/>
  <c r="H471" i="5"/>
  <c r="H472" i="5"/>
  <c r="H473" i="5"/>
  <c r="H474" i="5"/>
  <c r="H475" i="5"/>
  <c r="H476" i="5"/>
  <c r="H477" i="5"/>
  <c r="H478" i="5"/>
  <c r="H479" i="5"/>
  <c r="H480" i="5"/>
  <c r="H481" i="5"/>
  <c r="H482" i="5"/>
  <c r="H483" i="5"/>
  <c r="H484" i="5"/>
  <c r="H485" i="5"/>
  <c r="H486" i="5"/>
  <c r="H487" i="5"/>
  <c r="H488" i="5"/>
  <c r="H489" i="5"/>
  <c r="H490" i="5"/>
  <c r="H491" i="5"/>
  <c r="H492" i="5"/>
  <c r="H493" i="5"/>
  <c r="H494" i="5"/>
  <c r="H495" i="5"/>
  <c r="H496" i="5"/>
  <c r="H497" i="5"/>
  <c r="H498" i="5"/>
  <c r="H499" i="5"/>
  <c r="H500" i="5"/>
  <c r="H501" i="5"/>
  <c r="H502" i="5"/>
  <c r="H503" i="5"/>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151" i="1"/>
  <c r="N35" i="1"/>
  <c r="N152" i="1"/>
  <c r="N37" i="1"/>
  <c r="N38" i="1"/>
  <c r="N39" i="1"/>
  <c r="N40" i="1"/>
  <c r="N41" i="1"/>
  <c r="N42" i="1"/>
  <c r="N43" i="1"/>
  <c r="N44" i="1"/>
  <c r="N45" i="1"/>
  <c r="N46" i="1"/>
  <c r="N47" i="1"/>
  <c r="N48" i="1"/>
  <c r="N49" i="1"/>
  <c r="N50" i="1"/>
  <c r="N51" i="1"/>
  <c r="N52" i="1"/>
  <c r="N53" i="1"/>
  <c r="N54" i="1"/>
  <c r="N55" i="1"/>
  <c r="N56" i="1"/>
  <c r="N57" i="1"/>
  <c r="N58" i="1"/>
  <c r="N59" i="1"/>
  <c r="N60" i="1"/>
  <c r="N61" i="1"/>
  <c r="N62" i="1"/>
  <c r="N63" i="1"/>
  <c r="N64" i="1"/>
  <c r="N65" i="1"/>
  <c r="N66" i="1"/>
  <c r="N67" i="1"/>
  <c r="N68" i="1"/>
  <c r="N70" i="1"/>
  <c r="N71" i="1"/>
  <c r="N72" i="1"/>
  <c r="N73" i="1"/>
  <c r="N74" i="1"/>
  <c r="N76" i="1"/>
  <c r="N77" i="1"/>
  <c r="N78" i="1"/>
  <c r="N79" i="1"/>
  <c r="N472" i="1"/>
  <c r="N473" i="1"/>
  <c r="N83" i="1"/>
  <c r="N84" i="1"/>
  <c r="N85" i="1"/>
  <c r="N86" i="1"/>
  <c r="N87" i="1"/>
  <c r="N88" i="1"/>
  <c r="N89" i="1"/>
  <c r="N90" i="1"/>
  <c r="N91" i="1"/>
  <c r="N92" i="1"/>
  <c r="N93" i="1"/>
  <c r="N94" i="1"/>
  <c r="N95" i="1"/>
  <c r="N96" i="1"/>
  <c r="N97" i="1"/>
  <c r="N98" i="1"/>
  <c r="N99" i="1"/>
  <c r="N100" i="1"/>
  <c r="N101" i="1"/>
  <c r="N102" i="1"/>
  <c r="N103" i="1"/>
  <c r="N104" i="1"/>
  <c r="N105" i="1"/>
  <c r="N106" i="1"/>
  <c r="N107" i="1"/>
  <c r="N108" i="1"/>
  <c r="N109" i="1"/>
  <c r="N110" i="1"/>
  <c r="N111" i="1"/>
  <c r="N112" i="1"/>
  <c r="N113" i="1"/>
  <c r="N114" i="1"/>
  <c r="N115" i="1"/>
  <c r="N116" i="1"/>
  <c r="N117" i="1"/>
  <c r="N118" i="1"/>
  <c r="N119" i="1"/>
  <c r="N120" i="1"/>
  <c r="N121" i="1"/>
  <c r="N122" i="1"/>
  <c r="N123" i="1"/>
  <c r="N124" i="1"/>
  <c r="N125" i="1"/>
  <c r="N126" i="1"/>
  <c r="N127" i="1"/>
  <c r="N128" i="1"/>
  <c r="N129" i="1"/>
  <c r="N130" i="1"/>
  <c r="N131" i="1"/>
  <c r="N132" i="1"/>
  <c r="N133" i="1"/>
  <c r="N134" i="1"/>
  <c r="N135" i="1"/>
  <c r="N136" i="1"/>
  <c r="N137" i="1"/>
  <c r="N143" i="1"/>
  <c r="N138" i="1"/>
  <c r="N139" i="1"/>
  <c r="N140" i="1"/>
  <c r="N141" i="1"/>
  <c r="N142" i="1"/>
  <c r="N144" i="1"/>
  <c r="N148" i="1"/>
  <c r="N147" i="1"/>
  <c r="N149" i="1"/>
  <c r="N150" i="1"/>
  <c r="N153" i="1"/>
  <c r="N154" i="1"/>
  <c r="N155" i="1"/>
  <c r="N157" i="1"/>
  <c r="N158" i="1"/>
  <c r="N159" i="1"/>
  <c r="N160" i="1"/>
  <c r="N161" i="1"/>
  <c r="N162" i="1"/>
  <c r="N163" i="1"/>
  <c r="N164" i="1"/>
  <c r="N165" i="1"/>
  <c r="N166" i="1"/>
  <c r="N167" i="1"/>
  <c r="N168" i="1"/>
  <c r="N169" i="1"/>
  <c r="N170" i="1"/>
  <c r="N171" i="1"/>
  <c r="N172" i="1"/>
  <c r="N173" i="1"/>
  <c r="N180" i="1"/>
  <c r="N181" i="1"/>
  <c r="N182" i="1"/>
  <c r="N174" i="1"/>
  <c r="N175" i="1"/>
  <c r="N179" i="1"/>
  <c r="N176" i="1"/>
  <c r="N177" i="1"/>
  <c r="N178" i="1"/>
  <c r="N183" i="1"/>
  <c r="N184" i="1"/>
  <c r="N185" i="1"/>
  <c r="N187" i="1"/>
  <c r="N188" i="1"/>
  <c r="N189" i="1"/>
  <c r="N190" i="1"/>
  <c r="N191" i="1"/>
  <c r="N192" i="1"/>
  <c r="N193" i="1"/>
  <c r="N194" i="1"/>
  <c r="N195" i="1"/>
  <c r="N196" i="1"/>
  <c r="N197" i="1"/>
  <c r="N198" i="1"/>
  <c r="N199" i="1"/>
  <c r="N200" i="1"/>
  <c r="N201" i="1"/>
  <c r="N202" i="1"/>
  <c r="N203" i="1"/>
  <c r="N204" i="1"/>
  <c r="N205" i="1"/>
  <c r="N206" i="1"/>
  <c r="N207" i="1"/>
  <c r="N208" i="1"/>
  <c r="N209" i="1"/>
  <c r="N210" i="1"/>
  <c r="N211" i="1"/>
  <c r="N212" i="1"/>
  <c r="N213" i="1"/>
  <c r="N214" i="1"/>
  <c r="N215" i="1"/>
  <c r="N216" i="1"/>
  <c r="N217" i="1"/>
  <c r="N218" i="1"/>
  <c r="N219" i="1"/>
  <c r="N221" i="1"/>
  <c r="N220" i="1"/>
  <c r="N222" i="1"/>
  <c r="N223" i="1"/>
  <c r="N224" i="1"/>
  <c r="N225" i="1"/>
  <c r="N226" i="1"/>
  <c r="N227" i="1"/>
  <c r="N228" i="1"/>
  <c r="N229" i="1"/>
  <c r="N230" i="1"/>
  <c r="N231" i="1"/>
  <c r="N232" i="1"/>
  <c r="N233" i="1"/>
  <c r="N234" i="1"/>
  <c r="N235" i="1"/>
  <c r="N236" i="1"/>
  <c r="N237" i="1"/>
  <c r="N238" i="1"/>
  <c r="N239" i="1"/>
  <c r="N240" i="1"/>
  <c r="N241" i="1"/>
  <c r="N242" i="1"/>
  <c r="N243" i="1"/>
  <c r="N244" i="1"/>
  <c r="N245" i="1"/>
  <c r="N246" i="1"/>
  <c r="N247" i="1"/>
  <c r="N248" i="1"/>
  <c r="N249" i="1"/>
  <c r="N250" i="1"/>
  <c r="N251" i="1"/>
  <c r="N252" i="1"/>
  <c r="N253" i="1"/>
  <c r="N254" i="1"/>
  <c r="N255" i="1"/>
  <c r="N256" i="1"/>
  <c r="N257" i="1"/>
  <c r="N258" i="1"/>
  <c r="N259" i="1"/>
  <c r="N260" i="1"/>
  <c r="N261" i="1"/>
  <c r="N262" i="1"/>
  <c r="N263" i="1"/>
  <c r="N264" i="1"/>
  <c r="N265" i="1"/>
  <c r="N266" i="1"/>
  <c r="N267" i="1"/>
  <c r="N268" i="1"/>
  <c r="N269" i="1"/>
  <c r="N270" i="1"/>
  <c r="N271" i="1"/>
  <c r="N272" i="1"/>
  <c r="N273" i="1"/>
  <c r="N274" i="1"/>
  <c r="N275" i="1"/>
  <c r="N276" i="1"/>
  <c r="N277" i="1"/>
  <c r="N278" i="1"/>
  <c r="N279" i="1"/>
  <c r="N280" i="1"/>
  <c r="N281" i="1"/>
  <c r="N282" i="1"/>
  <c r="N283" i="1"/>
  <c r="N284" i="1"/>
  <c r="N285" i="1"/>
  <c r="N286" i="1"/>
  <c r="N287" i="1"/>
  <c r="N288" i="1"/>
  <c r="N289" i="1"/>
  <c r="N290" i="1"/>
  <c r="N291" i="1"/>
  <c r="N292" i="1"/>
  <c r="N293" i="1"/>
  <c r="N294" i="1"/>
  <c r="N295" i="1"/>
  <c r="N296" i="1"/>
  <c r="N297" i="1"/>
  <c r="N298" i="1"/>
  <c r="N300" i="1"/>
  <c r="N301" i="1"/>
  <c r="N302" i="1"/>
  <c r="N303" i="1"/>
  <c r="N304" i="1"/>
  <c r="N305" i="1"/>
  <c r="N306" i="1"/>
  <c r="N307" i="1"/>
  <c r="N308" i="1"/>
  <c r="N309" i="1"/>
  <c r="N310" i="1"/>
  <c r="N311" i="1"/>
  <c r="N312" i="1"/>
  <c r="N317" i="1"/>
  <c r="N318" i="1"/>
  <c r="N319" i="1"/>
  <c r="N320" i="1"/>
  <c r="N321" i="1"/>
  <c r="N322" i="1"/>
  <c r="N324" i="1"/>
  <c r="N325" i="1"/>
  <c r="N326" i="1"/>
  <c r="N328" i="1"/>
  <c r="N329" i="1"/>
  <c r="N330" i="1"/>
  <c r="N331" i="1"/>
  <c r="N332" i="1"/>
  <c r="N333" i="1"/>
  <c r="N334" i="1"/>
  <c r="N335" i="1"/>
  <c r="N336" i="1"/>
  <c r="N337" i="1"/>
  <c r="N338" i="1"/>
  <c r="N339" i="1"/>
  <c r="N340" i="1"/>
  <c r="N341" i="1"/>
  <c r="N343" i="1"/>
  <c r="N344" i="1"/>
  <c r="N345" i="1"/>
  <c r="N346" i="1"/>
  <c r="N347" i="1"/>
  <c r="N348" i="1"/>
  <c r="N349" i="1"/>
  <c r="N350" i="1"/>
  <c r="N351" i="1"/>
  <c r="N352" i="1"/>
  <c r="N353" i="1"/>
  <c r="N354" i="1"/>
  <c r="N355" i="1"/>
  <c r="N356" i="1"/>
  <c r="N357" i="1"/>
  <c r="N361" i="1"/>
  <c r="N362" i="1"/>
  <c r="N363" i="1"/>
  <c r="N364" i="1"/>
  <c r="N365" i="1"/>
  <c r="N366" i="1"/>
  <c r="N367" i="1"/>
  <c r="N368" i="1"/>
  <c r="N369" i="1"/>
  <c r="N370" i="1"/>
  <c r="N371" i="1"/>
  <c r="N372" i="1"/>
  <c r="N373" i="1"/>
  <c r="N374" i="1"/>
  <c r="N375" i="1"/>
  <c r="N377" i="1"/>
  <c r="N378" i="1"/>
  <c r="N379" i="1"/>
  <c r="N380" i="1"/>
  <c r="N381" i="1"/>
  <c r="N382" i="1"/>
  <c r="N383" i="1"/>
  <c r="N384" i="1"/>
  <c r="N385" i="1"/>
  <c r="N386" i="1"/>
  <c r="N387" i="1"/>
  <c r="N388" i="1"/>
  <c r="N389" i="1"/>
  <c r="N390" i="1"/>
  <c r="N391" i="1"/>
  <c r="N392" i="1"/>
  <c r="N393" i="1"/>
  <c r="N394" i="1"/>
  <c r="N395" i="1"/>
  <c r="N396" i="1"/>
  <c r="N397" i="1"/>
  <c r="N398" i="1"/>
  <c r="N399" i="1"/>
  <c r="N400" i="1"/>
  <c r="N401" i="1"/>
  <c r="N402" i="1"/>
  <c r="N403" i="1"/>
  <c r="N405" i="1"/>
  <c r="N406" i="1"/>
  <c r="N407" i="1"/>
  <c r="N408" i="1"/>
  <c r="N409" i="1"/>
  <c r="N410" i="1"/>
  <c r="N411" i="1"/>
  <c r="N412" i="1"/>
  <c r="N413" i="1"/>
  <c r="N414" i="1"/>
  <c r="N415" i="1"/>
  <c r="N416" i="1"/>
  <c r="N417" i="1"/>
  <c r="N418" i="1"/>
  <c r="N419" i="1"/>
  <c r="N420" i="1"/>
  <c r="N421" i="1"/>
  <c r="N422" i="1"/>
  <c r="N423" i="1"/>
  <c r="N424" i="1"/>
  <c r="N425" i="1"/>
  <c r="N426" i="1"/>
  <c r="N427" i="1"/>
  <c r="N428" i="1"/>
  <c r="N429" i="1"/>
  <c r="N430" i="1"/>
  <c r="N431" i="1"/>
  <c r="N432" i="1"/>
  <c r="N433" i="1"/>
  <c r="N434" i="1"/>
  <c r="N435" i="1"/>
  <c r="N436" i="1"/>
  <c r="N437" i="1"/>
  <c r="N438" i="1"/>
  <c r="N439" i="1"/>
  <c r="N440" i="1"/>
  <c r="N441" i="1"/>
  <c r="N442" i="1"/>
  <c r="N443" i="1"/>
  <c r="N444" i="1"/>
  <c r="N445" i="1"/>
  <c r="N446" i="1"/>
  <c r="N447" i="1"/>
  <c r="N448" i="1"/>
  <c r="N449" i="1"/>
  <c r="N450" i="1"/>
  <c r="N451" i="1"/>
  <c r="N452" i="1"/>
  <c r="N453" i="1"/>
  <c r="N454" i="1"/>
  <c r="N455" i="1"/>
  <c r="N456" i="1"/>
  <c r="N457" i="1"/>
  <c r="N458" i="1"/>
  <c r="N459" i="1"/>
  <c r="N460" i="1"/>
  <c r="N461" i="1"/>
  <c r="N462" i="1"/>
  <c r="N463" i="1"/>
  <c r="N464" i="1"/>
  <c r="N465" i="1"/>
  <c r="N466" i="1"/>
  <c r="N467" i="1"/>
  <c r="N468" i="1"/>
  <c r="N469" i="1"/>
  <c r="N470" i="1"/>
  <c r="N471" i="1"/>
  <c r="N474" i="1"/>
  <c r="N475" i="1"/>
  <c r="N476" i="1"/>
  <c r="N477" i="1"/>
  <c r="N478" i="1"/>
  <c r="N479" i="1"/>
  <c r="N480" i="1"/>
  <c r="O18" i="7"/>
  <c r="O6" i="7"/>
  <c r="R10" i="7"/>
  <c r="R6" i="7"/>
  <c r="R16" i="7"/>
  <c r="R17" i="7"/>
  <c r="R18" i="7"/>
  <c r="R19" i="7"/>
  <c r="R20" i="7"/>
  <c r="R21" i="7"/>
  <c r="R22" i="7"/>
  <c r="R23" i="7"/>
  <c r="R24" i="7"/>
  <c r="R25" i="7"/>
  <c r="R26" i="7"/>
  <c r="R27" i="7"/>
  <c r="R28" i="7"/>
  <c r="R29" i="7"/>
  <c r="R30" i="7"/>
  <c r="R14" i="7"/>
  <c r="D21" i="5" l="1"/>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D137" i="5"/>
  <c r="D138" i="5"/>
  <c r="D139" i="5"/>
  <c r="D140" i="5"/>
  <c r="D141" i="5"/>
  <c r="D142" i="5"/>
  <c r="D143" i="5"/>
  <c r="D144" i="5"/>
  <c r="D145" i="5"/>
  <c r="D146" i="5"/>
  <c r="D147" i="5"/>
  <c r="D148" i="5"/>
  <c r="D149" i="5"/>
  <c r="D150" i="5"/>
  <c r="D151" i="5"/>
  <c r="D152" i="5"/>
  <c r="D153" i="5"/>
  <c r="D154" i="5"/>
  <c r="D155" i="5"/>
  <c r="D156" i="5"/>
  <c r="D157" i="5"/>
  <c r="D158" i="5"/>
  <c r="D159" i="5"/>
  <c r="D160" i="5"/>
  <c r="D161" i="5"/>
  <c r="D162" i="5"/>
  <c r="D163" i="5"/>
  <c r="D164" i="5"/>
  <c r="D165" i="5"/>
  <c r="D166" i="5"/>
  <c r="D167" i="5"/>
  <c r="D168" i="5"/>
  <c r="D169" i="5"/>
  <c r="D170" i="5"/>
  <c r="D171" i="5"/>
  <c r="D172" i="5"/>
  <c r="D173" i="5"/>
  <c r="D174" i="5"/>
  <c r="D175" i="5"/>
  <c r="D176" i="5"/>
  <c r="D177" i="5"/>
  <c r="D178" i="5"/>
  <c r="D179" i="5"/>
  <c r="D180" i="5"/>
  <c r="D181" i="5"/>
  <c r="D182" i="5"/>
  <c r="D183" i="5"/>
  <c r="D184" i="5"/>
  <c r="D185" i="5"/>
  <c r="D186" i="5"/>
  <c r="D187" i="5"/>
  <c r="D188" i="5"/>
  <c r="D189" i="5"/>
  <c r="D190" i="5"/>
  <c r="D191" i="5"/>
  <c r="D192" i="5"/>
  <c r="D193" i="5"/>
  <c r="D194" i="5"/>
  <c r="D195" i="5"/>
  <c r="D196" i="5"/>
  <c r="D197" i="5"/>
  <c r="D198" i="5"/>
  <c r="D199" i="5"/>
  <c r="D200" i="5"/>
  <c r="D201" i="5"/>
  <c r="D202" i="5"/>
  <c r="D203" i="5"/>
  <c r="D204" i="5"/>
  <c r="D205" i="5"/>
  <c r="D206" i="5"/>
  <c r="D207" i="5"/>
  <c r="D208" i="5"/>
  <c r="D209" i="5"/>
  <c r="D210" i="5"/>
  <c r="D211" i="5"/>
  <c r="D212" i="5"/>
  <c r="D213" i="5"/>
  <c r="D214" i="5"/>
  <c r="D215" i="5"/>
  <c r="D216" i="5"/>
  <c r="D217" i="5"/>
  <c r="D218" i="5"/>
  <c r="D219" i="5"/>
  <c r="D220" i="5"/>
  <c r="D221" i="5"/>
  <c r="D222" i="5"/>
  <c r="D223" i="5"/>
  <c r="D224" i="5"/>
  <c r="D225" i="5"/>
  <c r="D226" i="5"/>
  <c r="D227" i="5"/>
  <c r="D228" i="5"/>
  <c r="D229" i="5"/>
  <c r="D230" i="5"/>
  <c r="D231" i="5"/>
  <c r="D232" i="5"/>
  <c r="D233" i="5"/>
  <c r="D234" i="5"/>
  <c r="D235" i="5"/>
  <c r="D236" i="5"/>
  <c r="D237" i="5"/>
  <c r="D238" i="5"/>
  <c r="D239" i="5"/>
  <c r="D240" i="5"/>
  <c r="D241" i="5"/>
  <c r="D242" i="5"/>
  <c r="D243" i="5"/>
  <c r="D244" i="5"/>
  <c r="D245" i="5"/>
  <c r="D246" i="5"/>
  <c r="D247" i="5"/>
  <c r="D248" i="5"/>
  <c r="D249" i="5"/>
  <c r="D250" i="5"/>
  <c r="D251" i="5"/>
  <c r="D252" i="5"/>
  <c r="D253" i="5"/>
  <c r="D254" i="5"/>
  <c r="D255" i="5"/>
  <c r="D256" i="5"/>
  <c r="D257" i="5"/>
  <c r="D258" i="5"/>
  <c r="D259" i="5"/>
  <c r="D260" i="5"/>
  <c r="D261" i="5"/>
  <c r="D262" i="5"/>
  <c r="D263" i="5"/>
  <c r="D264" i="5"/>
  <c r="D265" i="5"/>
  <c r="D266" i="5"/>
  <c r="D267" i="5"/>
  <c r="D268" i="5"/>
  <c r="D269" i="5"/>
  <c r="D270" i="5"/>
  <c r="D271" i="5"/>
  <c r="D272" i="5"/>
  <c r="D273" i="5"/>
  <c r="D274" i="5"/>
  <c r="D275" i="5"/>
  <c r="D276" i="5"/>
  <c r="D277" i="5"/>
  <c r="D278" i="5"/>
  <c r="D279" i="5"/>
  <c r="D280" i="5"/>
  <c r="D281" i="5"/>
  <c r="D282" i="5"/>
  <c r="D283" i="5"/>
  <c r="D284" i="5"/>
  <c r="D285" i="5"/>
  <c r="D286" i="5"/>
  <c r="D287" i="5"/>
  <c r="D288" i="5"/>
  <c r="D289" i="5"/>
  <c r="D290" i="5"/>
  <c r="D291" i="5"/>
  <c r="D292" i="5"/>
  <c r="D293" i="5"/>
  <c r="D294" i="5"/>
  <c r="D295" i="5"/>
  <c r="D296" i="5"/>
  <c r="D297" i="5"/>
  <c r="D298" i="5"/>
  <c r="D299" i="5"/>
  <c r="D300" i="5"/>
  <c r="D301" i="5"/>
  <c r="D302" i="5"/>
  <c r="D303" i="5"/>
  <c r="D304" i="5"/>
  <c r="D305" i="5"/>
  <c r="D306" i="5"/>
  <c r="D307" i="5"/>
  <c r="D308" i="5"/>
  <c r="D309" i="5"/>
  <c r="D310" i="5"/>
  <c r="D311" i="5"/>
  <c r="D312" i="5"/>
  <c r="D313" i="5"/>
  <c r="D314" i="5"/>
  <c r="D315" i="5"/>
  <c r="D316" i="5"/>
  <c r="D317" i="5"/>
  <c r="D318" i="5"/>
  <c r="D319" i="5"/>
  <c r="D320" i="5"/>
  <c r="D321" i="5"/>
  <c r="D322" i="5"/>
  <c r="D323" i="5"/>
  <c r="D324" i="5"/>
  <c r="D325" i="5"/>
  <c r="D326" i="5"/>
  <c r="D327" i="5"/>
  <c r="D328" i="5"/>
  <c r="D329" i="5"/>
  <c r="D330" i="5"/>
  <c r="D331" i="5"/>
  <c r="D332" i="5"/>
  <c r="D333" i="5"/>
  <c r="D334" i="5"/>
  <c r="D335" i="5"/>
  <c r="D336" i="5"/>
  <c r="D337" i="5"/>
  <c r="D338" i="5"/>
  <c r="D339" i="5"/>
  <c r="D340" i="5"/>
  <c r="D341" i="5"/>
  <c r="D342" i="5"/>
  <c r="D343" i="5"/>
  <c r="D344" i="5"/>
  <c r="D345" i="5"/>
  <c r="D346" i="5"/>
  <c r="D347" i="5"/>
  <c r="D348" i="5"/>
  <c r="D349" i="5"/>
  <c r="D350" i="5"/>
  <c r="D351" i="5"/>
  <c r="D352" i="5"/>
  <c r="D353" i="5"/>
  <c r="D354" i="5"/>
  <c r="D355" i="5"/>
  <c r="D356" i="5"/>
  <c r="D357" i="5"/>
  <c r="D358" i="5"/>
  <c r="D359" i="5"/>
  <c r="D360" i="5"/>
  <c r="D361" i="5"/>
  <c r="D362" i="5"/>
  <c r="D363" i="5"/>
  <c r="D364" i="5"/>
  <c r="D365" i="5"/>
  <c r="D366" i="5"/>
  <c r="D367" i="5"/>
  <c r="D368" i="5"/>
  <c r="D369" i="5"/>
  <c r="D370" i="5"/>
  <c r="D371" i="5"/>
  <c r="D372" i="5"/>
  <c r="D373" i="5"/>
  <c r="D374" i="5"/>
  <c r="D375" i="5"/>
  <c r="D376" i="5"/>
  <c r="D377" i="5"/>
  <c r="D378" i="5"/>
  <c r="D379" i="5"/>
  <c r="D380" i="5"/>
  <c r="D381" i="5"/>
  <c r="D382" i="5"/>
  <c r="D383" i="5"/>
  <c r="D384" i="5"/>
  <c r="D385" i="5"/>
  <c r="D386" i="5"/>
  <c r="D387" i="5"/>
  <c r="D388" i="5"/>
  <c r="D389" i="5"/>
  <c r="D390" i="5"/>
  <c r="D391" i="5"/>
  <c r="D392" i="5"/>
  <c r="D393" i="5"/>
  <c r="D394" i="5"/>
  <c r="D395" i="5"/>
  <c r="D396" i="5"/>
  <c r="D397" i="5"/>
  <c r="D398" i="5"/>
  <c r="D399" i="5"/>
  <c r="D400" i="5"/>
  <c r="D401" i="5"/>
  <c r="D402" i="5"/>
  <c r="D403" i="5"/>
  <c r="D404" i="5"/>
  <c r="D405" i="5"/>
  <c r="D406" i="5"/>
  <c r="D407" i="5"/>
  <c r="D408" i="5"/>
  <c r="D409" i="5"/>
  <c r="D410" i="5"/>
  <c r="D411" i="5"/>
  <c r="D412" i="5"/>
  <c r="D413" i="5"/>
  <c r="D414" i="5"/>
  <c r="D415" i="5"/>
  <c r="D416" i="5"/>
  <c r="D417" i="5"/>
  <c r="D418" i="5"/>
  <c r="D419" i="5"/>
  <c r="D420" i="5"/>
  <c r="D421" i="5"/>
  <c r="D422" i="5"/>
  <c r="D423" i="5"/>
  <c r="D424" i="5"/>
  <c r="D425" i="5"/>
  <c r="D426" i="5"/>
  <c r="D427" i="5"/>
  <c r="D428" i="5"/>
  <c r="D429" i="5"/>
  <c r="D430" i="5"/>
  <c r="D431" i="5"/>
  <c r="D432" i="5"/>
  <c r="D433" i="5"/>
  <c r="D434" i="5"/>
  <c r="D435" i="5"/>
  <c r="D436" i="5"/>
  <c r="D437" i="5"/>
  <c r="D438" i="5"/>
  <c r="D439" i="5"/>
  <c r="D440" i="5"/>
  <c r="D441" i="5"/>
  <c r="D442" i="5"/>
  <c r="D443" i="5"/>
  <c r="D444" i="5"/>
  <c r="D445" i="5"/>
  <c r="D446" i="5"/>
  <c r="D447" i="5"/>
  <c r="D448" i="5"/>
  <c r="D449" i="5"/>
  <c r="D450" i="5"/>
  <c r="D451" i="5"/>
  <c r="D452" i="5"/>
  <c r="D453" i="5"/>
  <c r="D454" i="5"/>
  <c r="D455" i="5"/>
  <c r="D456" i="5"/>
  <c r="D457" i="5"/>
  <c r="D458" i="5"/>
  <c r="D459" i="5"/>
  <c r="D460" i="5"/>
  <c r="D461" i="5"/>
  <c r="D462" i="5"/>
  <c r="D463" i="5"/>
  <c r="D464" i="5"/>
  <c r="D465" i="5"/>
  <c r="D466" i="5"/>
  <c r="D467" i="5"/>
  <c r="D468" i="5"/>
  <c r="D469" i="5"/>
  <c r="D470" i="5"/>
  <c r="D471" i="5"/>
  <c r="D472" i="5"/>
  <c r="D473" i="5"/>
  <c r="D474" i="5"/>
  <c r="D475" i="5"/>
  <c r="D476" i="5"/>
  <c r="D477" i="5"/>
  <c r="D478" i="5"/>
  <c r="D479" i="5"/>
  <c r="D480" i="5"/>
  <c r="D481" i="5"/>
  <c r="D482" i="5"/>
  <c r="D483" i="5"/>
  <c r="D484" i="5"/>
  <c r="D485" i="5"/>
  <c r="D486" i="5"/>
  <c r="D487" i="5"/>
  <c r="D488" i="5"/>
  <c r="D489" i="5"/>
  <c r="D490" i="5"/>
  <c r="D491" i="5"/>
  <c r="D492" i="5"/>
  <c r="D493" i="5"/>
  <c r="D494" i="5"/>
  <c r="D495" i="5"/>
  <c r="D496" i="5"/>
  <c r="D497" i="5"/>
  <c r="D498" i="5"/>
  <c r="D499" i="5"/>
  <c r="D500" i="5"/>
  <c r="D501" i="5"/>
  <c r="D502" i="5"/>
  <c r="D503" i="5"/>
  <c r="D5" i="5"/>
  <c r="D6" i="5"/>
  <c r="D7" i="5"/>
  <c r="D8" i="5"/>
  <c r="D9" i="5"/>
  <c r="D10" i="5"/>
  <c r="D11" i="5"/>
  <c r="D12" i="5"/>
  <c r="D13" i="5"/>
  <c r="D14" i="5"/>
  <c r="D15" i="5"/>
  <c r="D16" i="5"/>
  <c r="D17" i="5"/>
  <c r="D18" i="5"/>
  <c r="D19" i="5"/>
  <c r="D20" i="5"/>
  <c r="O7" i="7"/>
  <c r="D5" i="1"/>
  <c r="D6" i="1"/>
  <c r="D7" i="1"/>
  <c r="D8" i="1"/>
  <c r="D10" i="1"/>
  <c r="D17" i="1"/>
  <c r="D18" i="1"/>
  <c r="D19" i="1"/>
  <c r="D20" i="1"/>
  <c r="D24" i="1"/>
  <c r="D26" i="1"/>
  <c r="D27" i="1"/>
  <c r="D31" i="1"/>
  <c r="D62" i="1"/>
  <c r="D151" i="1"/>
  <c r="D152" i="1"/>
  <c r="D37" i="1"/>
  <c r="D60" i="1"/>
  <c r="D39" i="1"/>
  <c r="D41" i="1"/>
  <c r="D43" i="1"/>
  <c r="D123" i="1"/>
  <c r="D45" i="1"/>
  <c r="D92" i="1"/>
  <c r="D49" i="1"/>
  <c r="D53" i="1"/>
  <c r="D55" i="1"/>
  <c r="D56" i="1"/>
  <c r="D57" i="1"/>
  <c r="D68" i="1"/>
  <c r="D58" i="1"/>
  <c r="D28" i="1"/>
  <c r="D61" i="1"/>
  <c r="D64" i="1"/>
  <c r="D70" i="1"/>
  <c r="D79" i="1"/>
  <c r="D63" i="1"/>
  <c r="D472" i="1"/>
  <c r="D118" i="1"/>
  <c r="D86" i="1"/>
  <c r="D87" i="1"/>
  <c r="D143" i="1"/>
  <c r="D97" i="1"/>
  <c r="D23" i="1"/>
  <c r="D98" i="1"/>
  <c r="D100" i="1"/>
  <c r="D38" i="1"/>
  <c r="D101" i="1"/>
  <c r="D46" i="1"/>
  <c r="D59" i="1"/>
  <c r="D102" i="1"/>
  <c r="D99" i="1"/>
  <c r="D103" i="1"/>
  <c r="D119" i="1"/>
  <c r="D124" i="1"/>
  <c r="D104" i="1"/>
  <c r="D105" i="1"/>
  <c r="D89" i="1"/>
  <c r="D106" i="1"/>
  <c r="D25" i="1"/>
  <c r="D44" i="1"/>
  <c r="D52" i="1"/>
  <c r="D54" i="1"/>
  <c r="D66" i="1"/>
  <c r="D67" i="1"/>
  <c r="D72" i="1"/>
  <c r="D78" i="1"/>
  <c r="D473" i="1"/>
  <c r="D112" i="1"/>
  <c r="D125" i="1"/>
  <c r="D130" i="1"/>
  <c r="D110" i="1"/>
  <c r="D90" i="1"/>
  <c r="D133" i="1"/>
  <c r="D9" i="1"/>
  <c r="D11" i="1"/>
  <c r="D12" i="1"/>
  <c r="D13" i="1"/>
  <c r="D14" i="1"/>
  <c r="D15" i="1"/>
  <c r="D16" i="1"/>
  <c r="D21" i="1"/>
  <c r="D22" i="1"/>
  <c r="D29" i="1"/>
  <c r="D30" i="1"/>
  <c r="D32" i="1"/>
  <c r="D33" i="1"/>
  <c r="D34" i="1"/>
  <c r="D35" i="1"/>
  <c r="D111" i="1"/>
  <c r="D40" i="1"/>
  <c r="D127" i="1"/>
  <c r="D42" i="1"/>
  <c r="D47" i="1"/>
  <c r="D48" i="1"/>
  <c r="D50" i="1"/>
  <c r="D51" i="1"/>
  <c r="D129" i="1"/>
  <c r="D83" i="1"/>
  <c r="D65" i="1"/>
  <c r="D71" i="1"/>
  <c r="D73" i="1"/>
  <c r="D74" i="1"/>
  <c r="D76" i="1"/>
  <c r="D77" i="1"/>
  <c r="D107" i="1"/>
  <c r="D108" i="1"/>
  <c r="D84" i="1"/>
  <c r="D85" i="1"/>
  <c r="D91" i="1"/>
  <c r="D93" i="1"/>
  <c r="D94" i="1"/>
  <c r="D131" i="1"/>
  <c r="D109" i="1"/>
  <c r="D113" i="1"/>
  <c r="D114" i="1"/>
  <c r="D115" i="1"/>
  <c r="D116" i="1"/>
  <c r="D117" i="1"/>
  <c r="D120" i="1"/>
  <c r="D121" i="1"/>
  <c r="D122" i="1"/>
  <c r="D126" i="1"/>
  <c r="D128" i="1"/>
  <c r="D88" i="1"/>
  <c r="D95" i="1"/>
  <c r="D96" i="1"/>
  <c r="D132" i="1"/>
  <c r="D140" i="1"/>
  <c r="D134" i="1"/>
  <c r="D135" i="1"/>
  <c r="D136" i="1"/>
  <c r="D137" i="1"/>
  <c r="D138" i="1"/>
  <c r="D139" i="1"/>
  <c r="D141" i="1"/>
  <c r="D142" i="1"/>
  <c r="D144" i="1"/>
  <c r="D148" i="1"/>
  <c r="D147" i="1"/>
  <c r="D149" i="1"/>
  <c r="D150" i="1"/>
  <c r="D274" i="1"/>
  <c r="D275" i="1"/>
  <c r="D176" i="1"/>
  <c r="D276" i="1"/>
  <c r="D224" i="1"/>
  <c r="D280" i="1"/>
  <c r="D205" i="1"/>
  <c r="D281" i="1"/>
  <c r="D261" i="1"/>
  <c r="D196" i="1"/>
  <c r="D286" i="1"/>
  <c r="D294" i="1"/>
  <c r="D295" i="1"/>
  <c r="D203" i="1"/>
  <c r="D300" i="1"/>
  <c r="D222" i="1"/>
  <c r="D301" i="1"/>
  <c r="D234" i="1"/>
  <c r="D235" i="1"/>
  <c r="D302" i="1"/>
  <c r="D181" i="1"/>
  <c r="D174" i="1"/>
  <c r="D204" i="1"/>
  <c r="D225" i="1"/>
  <c r="D226" i="1"/>
  <c r="D230" i="1"/>
  <c r="D239" i="1"/>
  <c r="D254" i="1"/>
  <c r="D265" i="1"/>
  <c r="D268" i="1"/>
  <c r="D169" i="1"/>
  <c r="D170" i="1"/>
  <c r="D173" i="1"/>
  <c r="D182" i="1"/>
  <c r="D178" i="1"/>
  <c r="D183" i="1"/>
  <c r="D187" i="1"/>
  <c r="D303" i="1"/>
  <c r="D304" i="1"/>
  <c r="D305" i="1"/>
  <c r="D194" i="1"/>
  <c r="D216" i="1"/>
  <c r="D220" i="1"/>
  <c r="D236" i="1"/>
  <c r="D238" i="1"/>
  <c r="D244" i="1"/>
  <c r="D245" i="1"/>
  <c r="D248" i="1"/>
  <c r="D251" i="1"/>
  <c r="D252" i="1"/>
  <c r="D255" i="1"/>
  <c r="D266" i="1"/>
  <c r="D270" i="1"/>
  <c r="D171" i="1"/>
  <c r="D172" i="1"/>
  <c r="D180" i="1"/>
  <c r="D306" i="1"/>
  <c r="D177" i="1"/>
  <c r="D184" i="1"/>
  <c r="D185" i="1"/>
  <c r="D188" i="1"/>
  <c r="D193" i="1"/>
  <c r="D195" i="1"/>
  <c r="D198" i="1"/>
  <c r="D308" i="1"/>
  <c r="D309" i="1"/>
  <c r="D201" i="1"/>
  <c r="D202" i="1"/>
  <c r="D206" i="1"/>
  <c r="D207" i="1"/>
  <c r="D208" i="1"/>
  <c r="D209" i="1"/>
  <c r="D210" i="1"/>
  <c r="D212" i="1"/>
  <c r="D213" i="1"/>
  <c r="D218" i="1"/>
  <c r="D219" i="1"/>
  <c r="D223" i="1"/>
  <c r="D228" i="1"/>
  <c r="D229" i="1"/>
  <c r="D231" i="1"/>
  <c r="D232" i="1"/>
  <c r="D233" i="1"/>
  <c r="D240" i="1"/>
  <c r="D241" i="1"/>
  <c r="D242" i="1"/>
  <c r="D243" i="1"/>
  <c r="D246" i="1"/>
  <c r="D247" i="1"/>
  <c r="D249" i="1"/>
  <c r="D250" i="1"/>
  <c r="D256" i="1"/>
  <c r="D257" i="1"/>
  <c r="D258" i="1"/>
  <c r="D259" i="1"/>
  <c r="D260" i="1"/>
  <c r="D262" i="1"/>
  <c r="D263" i="1"/>
  <c r="D264" i="1"/>
  <c r="D267" i="1"/>
  <c r="D269" i="1"/>
  <c r="D271" i="1"/>
  <c r="D272" i="1"/>
  <c r="D273" i="1"/>
  <c r="D253" i="1"/>
  <c r="D328" i="1"/>
  <c r="D342" i="1"/>
  <c r="D312" i="1"/>
  <c r="D292" i="1"/>
  <c r="D168" i="1"/>
  <c r="D175" i="1"/>
  <c r="D291" i="1"/>
  <c r="D179" i="1"/>
  <c r="D189" i="1"/>
  <c r="D293" i="1"/>
  <c r="D190" i="1"/>
  <c r="D191" i="1"/>
  <c r="D159" i="1"/>
  <c r="D192" i="1"/>
  <c r="D197" i="1"/>
  <c r="D199" i="1"/>
  <c r="D334" i="1"/>
  <c r="D164" i="1"/>
  <c r="D166" i="1"/>
  <c r="D200" i="1"/>
  <c r="D277" i="1"/>
  <c r="D279" i="1"/>
  <c r="D282" i="1"/>
  <c r="D290" i="1"/>
  <c r="D211" i="1"/>
  <c r="D296" i="1"/>
  <c r="D297" i="1"/>
  <c r="D214" i="1"/>
  <c r="D215" i="1"/>
  <c r="D217" i="1"/>
  <c r="D325" i="1"/>
  <c r="D221" i="1"/>
  <c r="D343" i="1"/>
  <c r="D311" i="1"/>
  <c r="D153" i="1"/>
  <c r="D227" i="1"/>
  <c r="D237" i="1"/>
  <c r="D349" i="1"/>
  <c r="D278" i="1"/>
  <c r="D352" i="1"/>
  <c r="D283" i="1"/>
  <c r="D284" i="1"/>
  <c r="D285" i="1"/>
  <c r="D287" i="1"/>
  <c r="D288" i="1"/>
  <c r="D289" i="1"/>
  <c r="D298" i="1"/>
  <c r="D361" i="1"/>
  <c r="D362" i="1"/>
  <c r="D307" i="1"/>
  <c r="D317" i="1"/>
  <c r="D318" i="1"/>
  <c r="D319" i="1"/>
  <c r="D320" i="1"/>
  <c r="D321" i="1"/>
  <c r="D322" i="1"/>
  <c r="D324" i="1"/>
  <c r="D326" i="1"/>
  <c r="D329" i="1"/>
  <c r="D330" i="1"/>
  <c r="D331" i="1"/>
  <c r="D332" i="1"/>
  <c r="D333" i="1"/>
  <c r="D335" i="1"/>
  <c r="D336" i="1"/>
  <c r="D337" i="1"/>
  <c r="D338" i="1"/>
  <c r="D339" i="1"/>
  <c r="D340" i="1"/>
  <c r="D341" i="1"/>
  <c r="D344" i="1"/>
  <c r="D345" i="1"/>
  <c r="D346" i="1"/>
  <c r="D347" i="1"/>
  <c r="D348" i="1"/>
  <c r="D310" i="1"/>
  <c r="D154" i="1"/>
  <c r="D160" i="1"/>
  <c r="D364" i="1"/>
  <c r="D162" i="1"/>
  <c r="D163" i="1"/>
  <c r="D366" i="1"/>
  <c r="D372" i="1"/>
  <c r="D375" i="1"/>
  <c r="D381" i="1"/>
  <c r="D384" i="1"/>
  <c r="D390" i="1"/>
  <c r="D412" i="1"/>
  <c r="D402" i="1"/>
  <c r="D413" i="1"/>
  <c r="D414" i="1"/>
  <c r="D417" i="1"/>
  <c r="D350" i="1"/>
  <c r="D415" i="1"/>
  <c r="D430" i="1"/>
  <c r="D446" i="1"/>
  <c r="D448" i="1"/>
  <c r="D435" i="1"/>
  <c r="D436" i="1"/>
  <c r="D441" i="1"/>
  <c r="D398" i="1"/>
  <c r="D400" i="1"/>
  <c r="D420" i="1"/>
  <c r="D443" i="1"/>
  <c r="D451" i="1"/>
  <c r="D444" i="1"/>
  <c r="D458" i="1"/>
  <c r="D445" i="1"/>
  <c r="D447" i="1"/>
  <c r="D455" i="1"/>
  <c r="D457" i="1"/>
  <c r="D418" i="1"/>
  <c r="D421" i="1"/>
  <c r="D474" i="1"/>
  <c r="D363" i="1"/>
  <c r="D155" i="1"/>
  <c r="D382" i="1"/>
  <c r="D391" i="1"/>
  <c r="D392" i="1"/>
  <c r="D399" i="1"/>
  <c r="D406" i="1"/>
  <c r="D411" i="1"/>
  <c r="D419" i="1"/>
  <c r="D422" i="1"/>
  <c r="D431" i="1"/>
  <c r="D353" i="1"/>
  <c r="D357" i="1"/>
  <c r="D365" i="1"/>
  <c r="D157" i="1"/>
  <c r="D373" i="1"/>
  <c r="D374" i="1"/>
  <c r="D389" i="1"/>
  <c r="D393" i="1"/>
  <c r="D395" i="1"/>
  <c r="D408" i="1"/>
  <c r="D409" i="1"/>
  <c r="D410" i="1"/>
  <c r="D416" i="1"/>
  <c r="D434" i="1"/>
  <c r="D437" i="1"/>
  <c r="D438" i="1"/>
  <c r="D439" i="1"/>
  <c r="D442" i="1"/>
  <c r="D452" i="1"/>
  <c r="D459" i="1"/>
  <c r="D351" i="1"/>
  <c r="D354" i="1"/>
  <c r="D355" i="1"/>
  <c r="D356" i="1"/>
  <c r="D367" i="1"/>
  <c r="D368" i="1"/>
  <c r="D369" i="1"/>
  <c r="D370" i="1"/>
  <c r="D371" i="1"/>
  <c r="D377" i="1"/>
  <c r="D378" i="1"/>
  <c r="D379" i="1"/>
  <c r="D380" i="1"/>
  <c r="D383" i="1"/>
  <c r="D385" i="1"/>
  <c r="D386" i="1"/>
  <c r="D387" i="1"/>
  <c r="D388" i="1"/>
  <c r="D394" i="1"/>
  <c r="D396" i="1"/>
  <c r="D397" i="1"/>
  <c r="D401" i="1"/>
  <c r="D403" i="1"/>
  <c r="D405" i="1"/>
  <c r="D407" i="1"/>
  <c r="D158" i="1"/>
  <c r="D161" i="1"/>
  <c r="D165" i="1"/>
  <c r="D423" i="1"/>
  <c r="D424" i="1"/>
  <c r="D425" i="1"/>
  <c r="D426" i="1"/>
  <c r="D427" i="1"/>
  <c r="D428" i="1"/>
  <c r="D429" i="1"/>
  <c r="D432" i="1"/>
  <c r="D433" i="1"/>
  <c r="D440" i="1"/>
  <c r="D449" i="1"/>
  <c r="D450" i="1"/>
  <c r="D453" i="1"/>
  <c r="D454" i="1"/>
  <c r="D456" i="1"/>
  <c r="D460" i="1"/>
  <c r="D464" i="1"/>
  <c r="D477" i="1"/>
  <c r="D462" i="1"/>
  <c r="D475" i="1"/>
  <c r="D461" i="1"/>
  <c r="D463" i="1"/>
  <c r="D478" i="1"/>
  <c r="D480" i="1"/>
  <c r="D465" i="1"/>
  <c r="D466" i="1"/>
  <c r="D467" i="1"/>
  <c r="D468" i="1"/>
  <c r="D469" i="1"/>
  <c r="D470" i="1"/>
  <c r="D471" i="1"/>
  <c r="D167" i="1"/>
  <c r="D476" i="1"/>
  <c r="D479" i="1"/>
  <c r="D4" i="1"/>
  <c r="H5" i="1"/>
  <c r="H6" i="1"/>
  <c r="H7" i="1"/>
  <c r="H8" i="1"/>
  <c r="H10" i="1"/>
  <c r="H17" i="1"/>
  <c r="H18" i="1"/>
  <c r="H19" i="1"/>
  <c r="H20" i="1"/>
  <c r="H24" i="1"/>
  <c r="H26" i="1"/>
  <c r="H27" i="1"/>
  <c r="H31" i="1"/>
  <c r="H62" i="1"/>
  <c r="H151" i="1"/>
  <c r="H152" i="1"/>
  <c r="H37" i="1"/>
  <c r="H60" i="1"/>
  <c r="H39" i="1"/>
  <c r="H41" i="1"/>
  <c r="H43" i="1"/>
  <c r="H123" i="1"/>
  <c r="H45" i="1"/>
  <c r="H92" i="1"/>
  <c r="H49" i="1"/>
  <c r="H53" i="1"/>
  <c r="H55" i="1"/>
  <c r="H56" i="1"/>
  <c r="H57" i="1"/>
  <c r="H68" i="1"/>
  <c r="H58" i="1"/>
  <c r="H28" i="1"/>
  <c r="H61" i="1"/>
  <c r="H64" i="1"/>
  <c r="H70" i="1"/>
  <c r="H79" i="1"/>
  <c r="H63" i="1"/>
  <c r="H472" i="1"/>
  <c r="H118" i="1"/>
  <c r="H86" i="1"/>
  <c r="H87" i="1"/>
  <c r="H143" i="1"/>
  <c r="H97" i="1"/>
  <c r="H23" i="1"/>
  <c r="H98" i="1"/>
  <c r="H100" i="1"/>
  <c r="H38" i="1"/>
  <c r="H101" i="1"/>
  <c r="H46" i="1"/>
  <c r="H59" i="1"/>
  <c r="H102" i="1"/>
  <c r="H99" i="1"/>
  <c r="H103" i="1"/>
  <c r="H119" i="1"/>
  <c r="H124" i="1"/>
  <c r="H104" i="1"/>
  <c r="H105" i="1"/>
  <c r="H89" i="1"/>
  <c r="H106" i="1"/>
  <c r="H25" i="1"/>
  <c r="H44" i="1"/>
  <c r="H52" i="1"/>
  <c r="H54" i="1"/>
  <c r="H66" i="1"/>
  <c r="H67" i="1"/>
  <c r="H72" i="1"/>
  <c r="H78" i="1"/>
  <c r="H473" i="1"/>
  <c r="H112" i="1"/>
  <c r="H125" i="1"/>
  <c r="H130" i="1"/>
  <c r="H110" i="1"/>
  <c r="H90" i="1"/>
  <c r="H133" i="1"/>
  <c r="H9" i="1"/>
  <c r="H11" i="1"/>
  <c r="H12" i="1"/>
  <c r="H13" i="1"/>
  <c r="H14" i="1"/>
  <c r="H15" i="1"/>
  <c r="H16" i="1"/>
  <c r="H21" i="1"/>
  <c r="H22" i="1"/>
  <c r="H29" i="1"/>
  <c r="H30" i="1"/>
  <c r="H32" i="1"/>
  <c r="H33" i="1"/>
  <c r="H34" i="1"/>
  <c r="H35" i="1"/>
  <c r="H111" i="1"/>
  <c r="H40" i="1"/>
  <c r="H127" i="1"/>
  <c r="H42" i="1"/>
  <c r="H47" i="1"/>
  <c r="H48" i="1"/>
  <c r="H50" i="1"/>
  <c r="H51" i="1"/>
  <c r="H129" i="1"/>
  <c r="H83" i="1"/>
  <c r="H65" i="1"/>
  <c r="H71" i="1"/>
  <c r="H73" i="1"/>
  <c r="H74" i="1"/>
  <c r="H76" i="1"/>
  <c r="H77" i="1"/>
  <c r="H107" i="1"/>
  <c r="H108" i="1"/>
  <c r="H84" i="1"/>
  <c r="H85" i="1"/>
  <c r="H91" i="1"/>
  <c r="H93" i="1"/>
  <c r="H94" i="1"/>
  <c r="H131" i="1"/>
  <c r="H109" i="1"/>
  <c r="H113" i="1"/>
  <c r="H114" i="1"/>
  <c r="H115" i="1"/>
  <c r="H116" i="1"/>
  <c r="H117" i="1"/>
  <c r="H120" i="1"/>
  <c r="H121" i="1"/>
  <c r="H122" i="1"/>
  <c r="H126" i="1"/>
  <c r="H128" i="1"/>
  <c r="H88" i="1"/>
  <c r="H95" i="1"/>
  <c r="H96" i="1"/>
  <c r="H132" i="1"/>
  <c r="H140" i="1"/>
  <c r="H134" i="1"/>
  <c r="H135" i="1"/>
  <c r="H136" i="1"/>
  <c r="H137" i="1"/>
  <c r="H138" i="1"/>
  <c r="H139" i="1"/>
  <c r="H141" i="1"/>
  <c r="H142" i="1"/>
  <c r="H144" i="1"/>
  <c r="H148" i="1"/>
  <c r="H147" i="1"/>
  <c r="H149" i="1"/>
  <c r="H150" i="1"/>
  <c r="H274" i="1"/>
  <c r="H275" i="1"/>
  <c r="H176" i="1"/>
  <c r="H276" i="1"/>
  <c r="H224" i="1"/>
  <c r="H280" i="1"/>
  <c r="H205" i="1"/>
  <c r="H281" i="1"/>
  <c r="H261" i="1"/>
  <c r="H196" i="1"/>
  <c r="H286" i="1"/>
  <c r="H294" i="1"/>
  <c r="H295" i="1"/>
  <c r="H203" i="1"/>
  <c r="H300" i="1"/>
  <c r="H222" i="1"/>
  <c r="H301" i="1"/>
  <c r="H234" i="1"/>
  <c r="H235" i="1"/>
  <c r="H302" i="1"/>
  <c r="H181" i="1"/>
  <c r="H174" i="1"/>
  <c r="H204" i="1"/>
  <c r="H225" i="1"/>
  <c r="H226" i="1"/>
  <c r="H230" i="1"/>
  <c r="H239" i="1"/>
  <c r="H254" i="1"/>
  <c r="H265" i="1"/>
  <c r="H268" i="1"/>
  <c r="H169" i="1"/>
  <c r="H170" i="1"/>
  <c r="H173" i="1"/>
  <c r="H182" i="1"/>
  <c r="H178" i="1"/>
  <c r="H183" i="1"/>
  <c r="H187" i="1"/>
  <c r="H303" i="1"/>
  <c r="H304" i="1"/>
  <c r="H305" i="1"/>
  <c r="H194" i="1"/>
  <c r="H216" i="1"/>
  <c r="H220" i="1"/>
  <c r="H236" i="1"/>
  <c r="H238" i="1"/>
  <c r="H244" i="1"/>
  <c r="H245" i="1"/>
  <c r="H248" i="1"/>
  <c r="H251" i="1"/>
  <c r="H252" i="1"/>
  <c r="H255" i="1"/>
  <c r="H266" i="1"/>
  <c r="H270" i="1"/>
  <c r="H171" i="1"/>
  <c r="H172" i="1"/>
  <c r="H180" i="1"/>
  <c r="H306" i="1"/>
  <c r="H177" i="1"/>
  <c r="H184" i="1"/>
  <c r="H185" i="1"/>
  <c r="H188" i="1"/>
  <c r="H193" i="1"/>
  <c r="H195" i="1"/>
  <c r="H198" i="1"/>
  <c r="H308" i="1"/>
  <c r="H309" i="1"/>
  <c r="H201" i="1"/>
  <c r="H202" i="1"/>
  <c r="H206" i="1"/>
  <c r="H207" i="1"/>
  <c r="H208" i="1"/>
  <c r="H209" i="1"/>
  <c r="H210" i="1"/>
  <c r="H212" i="1"/>
  <c r="H213" i="1"/>
  <c r="H218" i="1"/>
  <c r="H219" i="1"/>
  <c r="H223" i="1"/>
  <c r="H228" i="1"/>
  <c r="H229" i="1"/>
  <c r="H231" i="1"/>
  <c r="H232" i="1"/>
  <c r="H233" i="1"/>
  <c r="H240" i="1"/>
  <c r="H241" i="1"/>
  <c r="H242" i="1"/>
  <c r="H243" i="1"/>
  <c r="H246" i="1"/>
  <c r="H247" i="1"/>
  <c r="H249" i="1"/>
  <c r="H250" i="1"/>
  <c r="H256" i="1"/>
  <c r="H257" i="1"/>
  <c r="H258" i="1"/>
  <c r="H259" i="1"/>
  <c r="H260" i="1"/>
  <c r="H262" i="1"/>
  <c r="H263" i="1"/>
  <c r="H264" i="1"/>
  <c r="H267" i="1"/>
  <c r="H269" i="1"/>
  <c r="H271" i="1"/>
  <c r="H272" i="1"/>
  <c r="H273" i="1"/>
  <c r="H253" i="1"/>
  <c r="H328" i="1"/>
  <c r="H342" i="1"/>
  <c r="H312" i="1"/>
  <c r="H292" i="1"/>
  <c r="H168" i="1"/>
  <c r="H175" i="1"/>
  <c r="H291" i="1"/>
  <c r="H179" i="1"/>
  <c r="H189" i="1"/>
  <c r="H293" i="1"/>
  <c r="H190" i="1"/>
  <c r="H191" i="1"/>
  <c r="H159" i="1"/>
  <c r="H192" i="1"/>
  <c r="H197" i="1"/>
  <c r="H199" i="1"/>
  <c r="H334" i="1"/>
  <c r="H164" i="1"/>
  <c r="H166" i="1"/>
  <c r="H200" i="1"/>
  <c r="H277" i="1"/>
  <c r="H279" i="1"/>
  <c r="H282" i="1"/>
  <c r="H290" i="1"/>
  <c r="H211" i="1"/>
  <c r="H296" i="1"/>
  <c r="H297" i="1"/>
  <c r="H214" i="1"/>
  <c r="H215" i="1"/>
  <c r="H217" i="1"/>
  <c r="H325" i="1"/>
  <c r="H221" i="1"/>
  <c r="H343" i="1"/>
  <c r="H311" i="1"/>
  <c r="H153" i="1"/>
  <c r="H227" i="1"/>
  <c r="H237" i="1"/>
  <c r="H349" i="1"/>
  <c r="H278" i="1"/>
  <c r="H352" i="1"/>
  <c r="H283" i="1"/>
  <c r="H284" i="1"/>
  <c r="H285" i="1"/>
  <c r="H287" i="1"/>
  <c r="H288" i="1"/>
  <c r="H289" i="1"/>
  <c r="H298" i="1"/>
  <c r="H361" i="1"/>
  <c r="H362" i="1"/>
  <c r="H307" i="1"/>
  <c r="H317" i="1"/>
  <c r="H318" i="1"/>
  <c r="H319" i="1"/>
  <c r="H320" i="1"/>
  <c r="H321" i="1"/>
  <c r="H322" i="1"/>
  <c r="H324" i="1"/>
  <c r="H326" i="1"/>
  <c r="H329" i="1"/>
  <c r="H330" i="1"/>
  <c r="H331" i="1"/>
  <c r="H332" i="1"/>
  <c r="H333" i="1"/>
  <c r="H335" i="1"/>
  <c r="H336" i="1"/>
  <c r="H337" i="1"/>
  <c r="H338" i="1"/>
  <c r="H339" i="1"/>
  <c r="H340" i="1"/>
  <c r="H341" i="1"/>
  <c r="H344" i="1"/>
  <c r="H345" i="1"/>
  <c r="H346" i="1"/>
  <c r="H347" i="1"/>
  <c r="H348" i="1"/>
  <c r="H310" i="1"/>
  <c r="H154" i="1"/>
  <c r="H160" i="1"/>
  <c r="H364" i="1"/>
  <c r="H162" i="1"/>
  <c r="H163" i="1"/>
  <c r="H366" i="1"/>
  <c r="H372" i="1"/>
  <c r="H375" i="1"/>
  <c r="H381" i="1"/>
  <c r="H384" i="1"/>
  <c r="H390" i="1"/>
  <c r="H412" i="1"/>
  <c r="H402" i="1"/>
  <c r="H413" i="1"/>
  <c r="H414" i="1"/>
  <c r="H417" i="1"/>
  <c r="H350" i="1"/>
  <c r="H415" i="1"/>
  <c r="H430" i="1"/>
  <c r="H446" i="1"/>
  <c r="H448" i="1"/>
  <c r="H435" i="1"/>
  <c r="H436" i="1"/>
  <c r="H441" i="1"/>
  <c r="H398" i="1"/>
  <c r="H400" i="1"/>
  <c r="H420" i="1"/>
  <c r="H443" i="1"/>
  <c r="H451" i="1"/>
  <c r="H444" i="1"/>
  <c r="H458" i="1"/>
  <c r="H445" i="1"/>
  <c r="H447" i="1"/>
  <c r="H455" i="1"/>
  <c r="H457" i="1"/>
  <c r="H418" i="1"/>
  <c r="H421" i="1"/>
  <c r="H474" i="1"/>
  <c r="H363" i="1"/>
  <c r="H155" i="1"/>
  <c r="H382" i="1"/>
  <c r="H391" i="1"/>
  <c r="H392" i="1"/>
  <c r="H399" i="1"/>
  <c r="H406" i="1"/>
  <c r="H411" i="1"/>
  <c r="H419" i="1"/>
  <c r="H422" i="1"/>
  <c r="H431" i="1"/>
  <c r="H353" i="1"/>
  <c r="H357" i="1"/>
  <c r="H365" i="1"/>
  <c r="H157" i="1"/>
  <c r="H373" i="1"/>
  <c r="H374" i="1"/>
  <c r="H389" i="1"/>
  <c r="H393" i="1"/>
  <c r="H395" i="1"/>
  <c r="H408" i="1"/>
  <c r="H409" i="1"/>
  <c r="H410" i="1"/>
  <c r="H416" i="1"/>
  <c r="H434" i="1"/>
  <c r="H437" i="1"/>
  <c r="H438" i="1"/>
  <c r="H439" i="1"/>
  <c r="H442" i="1"/>
  <c r="H452" i="1"/>
  <c r="H459" i="1"/>
  <c r="H351" i="1"/>
  <c r="H354" i="1"/>
  <c r="H355" i="1"/>
  <c r="H356" i="1"/>
  <c r="H367" i="1"/>
  <c r="H368" i="1"/>
  <c r="H369" i="1"/>
  <c r="H370" i="1"/>
  <c r="H371" i="1"/>
  <c r="H377" i="1"/>
  <c r="H378" i="1"/>
  <c r="H379" i="1"/>
  <c r="H380" i="1"/>
  <c r="H383" i="1"/>
  <c r="H385" i="1"/>
  <c r="H386" i="1"/>
  <c r="H387" i="1"/>
  <c r="H388" i="1"/>
  <c r="H394" i="1"/>
  <c r="H396" i="1"/>
  <c r="H397" i="1"/>
  <c r="H401" i="1"/>
  <c r="H403" i="1"/>
  <c r="H405" i="1"/>
  <c r="H407" i="1"/>
  <c r="H158" i="1"/>
  <c r="H161" i="1"/>
  <c r="H165" i="1"/>
  <c r="H423" i="1"/>
  <c r="H424" i="1"/>
  <c r="H425" i="1"/>
  <c r="H426" i="1"/>
  <c r="H427" i="1"/>
  <c r="H428" i="1"/>
  <c r="H429" i="1"/>
  <c r="H432" i="1"/>
  <c r="H433" i="1"/>
  <c r="H440" i="1"/>
  <c r="H449" i="1"/>
  <c r="H450" i="1"/>
  <c r="H453" i="1"/>
  <c r="H454" i="1"/>
  <c r="H456" i="1"/>
  <c r="H460" i="1"/>
  <c r="H464" i="1"/>
  <c r="H477" i="1"/>
  <c r="H462" i="1"/>
  <c r="H475" i="1"/>
  <c r="H461" i="1"/>
  <c r="H463" i="1"/>
  <c r="H478" i="1"/>
  <c r="H480" i="1"/>
  <c r="H465" i="1"/>
  <c r="H466" i="1"/>
  <c r="H467" i="1"/>
  <c r="H468" i="1"/>
  <c r="H469" i="1"/>
  <c r="H470" i="1"/>
  <c r="H471" i="1"/>
  <c r="H167" i="1"/>
  <c r="H476" i="1"/>
  <c r="H479" i="1"/>
  <c r="H4" i="1"/>
  <c r="A4" i="9" l="1" a="1"/>
  <c r="A4" i="9" s="1"/>
  <c r="R15" i="7"/>
  <c r="R7" i="7"/>
  <c r="R8" i="7"/>
  <c r="R9" i="7"/>
  <c r="O19" i="7"/>
  <c r="O20" i="7"/>
  <c r="O21" i="7"/>
  <c r="O22" i="7"/>
  <c r="O23" i="7"/>
  <c r="O11" i="7"/>
  <c r="O12" i="7"/>
  <c r="O13" i="7"/>
  <c r="O14" i="7"/>
  <c r="N4"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<sst xmlns="http://schemas.openxmlformats.org/spreadsheetml/2006/main" count="7638" uniqueCount="2209">
  <si>
    <t>ID</t>
  </si>
  <si>
    <t>Subcategory</t>
  </si>
  <si>
    <t>Economic</t>
  </si>
  <si>
    <t>Environmental</t>
  </si>
  <si>
    <t>References</t>
  </si>
  <si>
    <t>Industry</t>
  </si>
  <si>
    <t>Input</t>
  </si>
  <si>
    <t>Material</t>
  </si>
  <si>
    <t>x</t>
  </si>
  <si>
    <t>Material consumption</t>
  </si>
  <si>
    <t>Quantitative</t>
  </si>
  <si>
    <t>unit of mass</t>
  </si>
  <si>
    <t>301-1</t>
  </si>
  <si>
    <t>Company; Factory; Production line; Process</t>
  </si>
  <si>
    <t>Company; Factory; Production line</t>
  </si>
  <si>
    <t>Material efficiency</t>
  </si>
  <si>
    <t>%</t>
  </si>
  <si>
    <t>not specified</t>
  </si>
  <si>
    <t>Material cost</t>
  </si>
  <si>
    <t>€</t>
  </si>
  <si>
    <t>Company; Factory; Production line; Work cell</t>
  </si>
  <si>
    <t>Material utilization</t>
  </si>
  <si>
    <t>This indicator measures the ratio of the total material input minus waste to the total material input.</t>
  </si>
  <si>
    <t>Production line; Work cell; Process</t>
  </si>
  <si>
    <t>25 Manufacture of fabricated metal products, except machinery and equipment; 26 Manufacture of computer, electronic and optical products; 30 Manufacture of other transport equipment</t>
  </si>
  <si>
    <t>Separating; Joining; Coating and finishing; Change of material properties</t>
  </si>
  <si>
    <t>Cotton textile consumption</t>
  </si>
  <si>
    <t>This indicator measures the total weight of cotton textile consumed.</t>
  </si>
  <si>
    <t>Herva et al. 2008</t>
  </si>
  <si>
    <t>Factory</t>
  </si>
  <si>
    <t>14 Manufacture of wearing apparel</t>
  </si>
  <si>
    <t>Transforming; Separating; Coating and finishing</t>
  </si>
  <si>
    <t>Paper and cardboard consumption</t>
  </si>
  <si>
    <t>This indicator measures the total weight of paper and cardboard consumed.</t>
  </si>
  <si>
    <t>Plastic consumption</t>
  </si>
  <si>
    <t>This indicator measures the total weight of plastic consumed.</t>
  </si>
  <si>
    <t>Polystyrene foam consumption</t>
  </si>
  <si>
    <t>m²</t>
  </si>
  <si>
    <t>Kravchenko et al. 2019</t>
  </si>
  <si>
    <t>Company</t>
  </si>
  <si>
    <t>13 Manufacture of textiles; 28 Manufacture of machinery and equipment n.e.c.; 31 Manufacture of furniture</t>
  </si>
  <si>
    <t>Synthetic stitch consumption</t>
  </si>
  <si>
    <t>This indicator measures the total length of synthetic stitch consumed.</t>
  </si>
  <si>
    <t>m</t>
  </si>
  <si>
    <t>Wood consumption (non-energy)</t>
  </si>
  <si>
    <t>This indicator measures the total volume of wood consumed.</t>
  </si>
  <si>
    <t>Wool textile consumption</t>
  </si>
  <si>
    <t>This indicator measures the total weight of wool textile consumed.</t>
  </si>
  <si>
    <t>Raw material consumption</t>
  </si>
  <si>
    <t>This indicator measures the total weight or volume of raw materials consumed.</t>
  </si>
  <si>
    <t>Company; Factory; Production line; Work cell; Process</t>
  </si>
  <si>
    <t>Company; Production line; Work cell; Process</t>
  </si>
  <si>
    <t>Raw material efficiency</t>
  </si>
  <si>
    <t>This indicator measures the ratio of total product output to raw materials input.</t>
  </si>
  <si>
    <t>Raw material cost</t>
  </si>
  <si>
    <t>This indicator measures the cost of all raw materials. (can be measured as total costs or total costs per UP)</t>
  </si>
  <si>
    <t>Factory; Production line; Work cell; Process</t>
  </si>
  <si>
    <t>#</t>
  </si>
  <si>
    <t>Park &amp; Kremer 2017</t>
  </si>
  <si>
    <t>Recyclable raw material consumption percentual</t>
  </si>
  <si>
    <t>Rao et al. 2006</t>
  </si>
  <si>
    <t>25 Manufacture of fabricated metal products, except machinery and equipment; 29 Manufacture of motor vehicles, trailers and semi-trailers; 31 Manufacture of furniture; 32 Other manufacturing</t>
  </si>
  <si>
    <t>Recycled raw material consumption percentual</t>
  </si>
  <si>
    <t>This indicator measures the total weight or volume of recycled raw material used to all raw material used.</t>
  </si>
  <si>
    <t>Dočekalová &amp; Kocmanová 2016; Swarnakar et al. 2021; Swarnakar et al. 2022</t>
  </si>
  <si>
    <t>Company; Process</t>
  </si>
  <si>
    <t>Auxiliary material consumption</t>
  </si>
  <si>
    <t>This indicator measures the total weight or volume of auxiliary materials consumed.</t>
  </si>
  <si>
    <t>Paju et al. 2011; Song &amp; Moon 2019</t>
  </si>
  <si>
    <t>Production line; Process</t>
  </si>
  <si>
    <t>25 Manufacture of fabricated metal products, except machinery and equipment; 30 Manufacture of other transport equipment</t>
  </si>
  <si>
    <t>Original forming; Transforming; Separating; Joining; Coating and finishing</t>
  </si>
  <si>
    <t>Recycled or reused auxiliary materials</t>
  </si>
  <si>
    <t>Kravchenko et al. 2019; ISO14031</t>
  </si>
  <si>
    <t>Company; Factory</t>
  </si>
  <si>
    <t>Consumables cost</t>
  </si>
  <si>
    <t>This indicator measures the cost of all consumables.</t>
  </si>
  <si>
    <t>Faulkner &amp; Badurdeen 2014; Gao et al. 2016; Huang &amp; Badurdeen 2018</t>
  </si>
  <si>
    <t>Factory; Production line; Process</t>
  </si>
  <si>
    <t>Original forming; Separating; Joining; Coating and finishing; Change of material properties</t>
  </si>
  <si>
    <t>Coolant fluid consumption</t>
  </si>
  <si>
    <t>Brown et al. 2014; Kravchenko et al. 2019; Swarnakar et al. 2021; Swarnakar et al. 2022; Vinodh et al. 2016</t>
  </si>
  <si>
    <t>Cutting fluid consumption</t>
  </si>
  <si>
    <t>This indicator measures the total weight or volume of cutting fluid consumed.</t>
  </si>
  <si>
    <t>Process</t>
  </si>
  <si>
    <t>Separating</t>
  </si>
  <si>
    <t>Filler material consumption</t>
  </si>
  <si>
    <t>This indicator measures the total weight or volume of filler material consumed.</t>
  </si>
  <si>
    <t>Saad et al. 2021</t>
  </si>
  <si>
    <t>Joining</t>
  </si>
  <si>
    <t>Grease consumption</t>
  </si>
  <si>
    <t>This indicator measures the total weight or volume of grease consumed.</t>
  </si>
  <si>
    <t>Garza-Reyes et al. 2018</t>
  </si>
  <si>
    <t>Transforming; Change of material properties</t>
  </si>
  <si>
    <t>Oil consumption (non-energy)</t>
  </si>
  <si>
    <t>This indicator measures the total weight or volume of oil consumed (not for energy).</t>
  </si>
  <si>
    <t>Winroth et al. 2016</t>
  </si>
  <si>
    <t>Refractory consumption</t>
  </si>
  <si>
    <t>24 Manufacture of basic metals</t>
  </si>
  <si>
    <t>Refrigerant consumption</t>
  </si>
  <si>
    <t>Shielding gas consumption</t>
  </si>
  <si>
    <t>This indicator measures the total weight or volume of shielding gas consumed.</t>
  </si>
  <si>
    <t>Lucato et al. 2018</t>
  </si>
  <si>
    <t>Cutting tool consumption</t>
  </si>
  <si>
    <t>This indicator measures the total weight or number of cutting tools consumed.</t>
  </si>
  <si>
    <t>kg or #</t>
  </si>
  <si>
    <t>Work cell; Process</t>
  </si>
  <si>
    <t>Separating; Coating and finishing; Change of material properties</t>
  </si>
  <si>
    <t>Filler material cost</t>
  </si>
  <si>
    <t>This indicator measures the cost of filler materials.</t>
  </si>
  <si>
    <t>Tool cost</t>
  </si>
  <si>
    <t>Packaging material consumption</t>
  </si>
  <si>
    <t>This indicator measures the total weight or volume of packaging material used.</t>
  </si>
  <si>
    <t>Packaging material efficiency</t>
  </si>
  <si>
    <t>This indicator measures the ratio of total product output to packaging materials input.</t>
  </si>
  <si>
    <t>Huang &amp; Badurdeen 2018</t>
  </si>
  <si>
    <t>Factory; Production line</t>
  </si>
  <si>
    <t>26 Manufacture of computer, electronic and optical products</t>
  </si>
  <si>
    <t>Original forming; Joining; Coating and finishing; Change of material properties</t>
  </si>
  <si>
    <t>Diversity of packaging materials</t>
  </si>
  <si>
    <t>This indicator measures the number of different types of packaging materials used.</t>
  </si>
  <si>
    <t>Renewable packaging material consumption</t>
  </si>
  <si>
    <t>This indicator measures the total weight or volume of renewable packaging material used.</t>
  </si>
  <si>
    <t>Lee et al. 2014</t>
  </si>
  <si>
    <t>29 Manufacture of motor vehicles, trailers and semi-trailers</t>
  </si>
  <si>
    <t>Transforming; Joining</t>
  </si>
  <si>
    <t>Packaging materials from suppliers</t>
  </si>
  <si>
    <t>This indicator measures the total weight or volume of packaging material received from suppliers.</t>
  </si>
  <si>
    <t>Recycled packaging material consumption percentual</t>
  </si>
  <si>
    <t>This indicator measures the total weight or volume of recycled packaging material used to all packaging material used.</t>
  </si>
  <si>
    <t>Reusable packaging material consumption percentual</t>
  </si>
  <si>
    <t>This indicator measures the total weight or volume of reusable packaging material used to all packaging material used.</t>
  </si>
  <si>
    <t>Kravchenko et al. 2019; Rao et al. 2006</t>
  </si>
  <si>
    <t>13 Manufacture of textiles; 25 Manufacture of fabricated metal products, except machinery and equipment; 28 Manufacture of machinery and equipment n.e.c.; 29 Manufacture of motor vehicles, trailers and semi-trailers; 31 Manufacture of furniture; 32 Other manufacturing</t>
  </si>
  <si>
    <t>Reused packaging material consumption</t>
  </si>
  <si>
    <t>This indicator measures the total weight or volume of reused packaging material consumed.</t>
  </si>
  <si>
    <t>Biodegradable packaging material consumption</t>
  </si>
  <si>
    <t>This indicator measures the mass of biodegradable materials used for packaging.</t>
  </si>
  <si>
    <t>Take back packaging from pre-use</t>
  </si>
  <si>
    <t>This indicator measures the pre-use packaging mass/volume received from internal facilities. Parts and materials can be packed and transported internally between factories and facilities. Aim to recirculate packaging internally. Packaging can also be reprocessed on-site.</t>
  </si>
  <si>
    <t>Packaging material cost</t>
  </si>
  <si>
    <t>Virgin material consumption</t>
  </si>
  <si>
    <t>Virgin material efficiency</t>
  </si>
  <si>
    <t>This indicator measures the ratio of total product output to virgin materials input.</t>
  </si>
  <si>
    <t>Kibira et al. 2018</t>
  </si>
  <si>
    <t>25 Manufacture of fabricated metal products, except machinery and equipment</t>
  </si>
  <si>
    <t>Transforming; Separating; Change of material properties</t>
  </si>
  <si>
    <t>Processed, recycled or reused materials consumption</t>
  </si>
  <si>
    <t>Factory; Process</t>
  </si>
  <si>
    <t>Non-renewable materials consumption</t>
  </si>
  <si>
    <t>This indicator measures the total weight or volume of non-renewable materials consumed.</t>
  </si>
  <si>
    <t>Non-renewable material intensity</t>
  </si>
  <si>
    <t>Linke et al. 2013; OECD</t>
  </si>
  <si>
    <t>Renewable material consumption</t>
  </si>
  <si>
    <t>This indicator measures the total weight or volume of renewable materials consumed.</t>
  </si>
  <si>
    <t>Renewable materials consumption percentual</t>
  </si>
  <si>
    <t>This indicator measures the ratio of the total weight or volume of renewable materials consumed to all input materials.</t>
  </si>
  <si>
    <t>Renewable raw material consumption percentual</t>
  </si>
  <si>
    <t>This indicator measures the ratio of the total weight or volume of renewable raw materials consumed to all raw materials.</t>
  </si>
  <si>
    <t>Renewable material cost</t>
  </si>
  <si>
    <t>This indicator measures the cost of all renewable materials.</t>
  </si>
  <si>
    <t>Recyclable material consumption</t>
  </si>
  <si>
    <t>This indicator measures the total weight or volume of recyclable materials consumed. It can also be measured as a ratio to total material input.</t>
  </si>
  <si>
    <t>Recycled material consumption</t>
  </si>
  <si>
    <t>This indicator measures the total weight or volume of recycled materials consumed.</t>
  </si>
  <si>
    <t>Company; Factory; Process</t>
  </si>
  <si>
    <t>Recycled material consumption per unit of production</t>
  </si>
  <si>
    <t>Akbar &amp; Irohara 2018; Tan et al. 2015</t>
  </si>
  <si>
    <t>Recycled material consumption percentual</t>
  </si>
  <si>
    <t>This indicator measures the ratio of the total weight or volume of recycled materials consumed to all input materials.</t>
  </si>
  <si>
    <t>301-2</t>
  </si>
  <si>
    <t>Reused material consumption</t>
  </si>
  <si>
    <t>This indicator measures the total weight or volume of reused materials consumed. It can also be measured as a ratio to total material input.</t>
  </si>
  <si>
    <t>Reused material consumption per unit of production</t>
  </si>
  <si>
    <t>This indicator measures the total weight or volume of reused materials consumed per production output.</t>
  </si>
  <si>
    <t>Reused raw material consumption</t>
  </si>
  <si>
    <t>This indicator measures the total weight or volume of reused raw materials consumed.</t>
  </si>
  <si>
    <t>ISO14031</t>
  </si>
  <si>
    <t>Reused raw material consumption percentual</t>
  </si>
  <si>
    <t>This indicator measures the ratio of the total weight or volume of reused raw materials consumed to all raw materials.</t>
  </si>
  <si>
    <t>Swarnakar et al. 2021; Swarnakar et al. 2022</t>
  </si>
  <si>
    <t>Reprocessed material consumption</t>
  </si>
  <si>
    <t>This indicator measures the total weight or volume of reprocessed materials consumed. It can also be measured as a ratio to total material input.</t>
  </si>
  <si>
    <t>Gani et al. 2021; Pusporini &amp; Vanany 2019</t>
  </si>
  <si>
    <t>Hazardous material consumption</t>
  </si>
  <si>
    <t>This indicator measures the total weight or volume of hazardous (toxic, harmful) materials consumed.</t>
  </si>
  <si>
    <t>Hazardous material consumption per unit of production</t>
  </si>
  <si>
    <t>This indicator measures the mass of hazardous material input per production output.</t>
  </si>
  <si>
    <t>Hazardous material consumption percentual</t>
  </si>
  <si>
    <t>This indicator measures the ratio of the total weight or volume of hazardous materials consumed to all input materials.</t>
  </si>
  <si>
    <t>Hazardous raw material consumption</t>
  </si>
  <si>
    <t>This indicator measures the total weight or volume of raw hazardous materials consumed.</t>
  </si>
  <si>
    <t>Pinto et al. 2020</t>
  </si>
  <si>
    <t>Bhakar et al. 2018</t>
  </si>
  <si>
    <t>23 Manufacture of other non-metallic mineral products</t>
  </si>
  <si>
    <t>Toxic material consumption</t>
  </si>
  <si>
    <t>This indicator measures the total weight or volume of toxic materials consumed.</t>
  </si>
  <si>
    <t>Cagno et al. 2019; ISO14031</t>
  </si>
  <si>
    <t>Harmful material consumption</t>
  </si>
  <si>
    <t>This indicator measures the total weight or volume of harmful materials consumed.</t>
  </si>
  <si>
    <t>Pusporini &amp; Vanany 2019</t>
  </si>
  <si>
    <t>Chemicals consumption</t>
  </si>
  <si>
    <t>This indicator measures the volume of chemicals (solvents, substances) consumed.</t>
  </si>
  <si>
    <t>Chemicals consumption per unit of production</t>
  </si>
  <si>
    <t>This indicator measures the volume of chemicals consumed per production output.</t>
  </si>
  <si>
    <t>PBT chemicals consumption</t>
  </si>
  <si>
    <t>This indicator measures the volume of PBT chemicals consumed.</t>
  </si>
  <si>
    <t>Gani et al. 2021</t>
  </si>
  <si>
    <t>Hazardous chemicals consumption</t>
  </si>
  <si>
    <t>This indicator measures the volume of hazardous chemicals consumed.</t>
  </si>
  <si>
    <t>Moldavska &amp; Welo 2018; Vimal et al. 2015</t>
  </si>
  <si>
    <t>Restricted chemicals consumption</t>
  </si>
  <si>
    <t>Distance from source</t>
  </si>
  <si>
    <t>km</t>
  </si>
  <si>
    <t>Transportation efficiency ratio</t>
  </si>
  <si>
    <t>Gao et al. 2016</t>
  </si>
  <si>
    <t>Separating; Joining</t>
  </si>
  <si>
    <t>Energy</t>
  </si>
  <si>
    <t>Energy consumption</t>
  </si>
  <si>
    <t>This indicator measures the total energy consumption.</t>
  </si>
  <si>
    <t>J</t>
  </si>
  <si>
    <t>302-1</t>
  </si>
  <si>
    <t>Electricity consumption</t>
  </si>
  <si>
    <t>This indicator measures the total electricity consumption.</t>
  </si>
  <si>
    <t>kWh</t>
  </si>
  <si>
    <t>Fuel consumption</t>
  </si>
  <si>
    <t>This indicator measures the total fuel consumption.</t>
  </si>
  <si>
    <t>Primary energy consumption</t>
  </si>
  <si>
    <t>Gani et al. 2021; Song &amp; Moon 2019</t>
  </si>
  <si>
    <t>Company; Production line</t>
  </si>
  <si>
    <t>Energy consumption for production</t>
  </si>
  <si>
    <t>This indicator measures the total energy consumption for manufacturing exclusively.</t>
  </si>
  <si>
    <t>Energy consumption not for production</t>
  </si>
  <si>
    <t>Cagno et al. 2019; Huang &amp; Badurdeen 2018</t>
  </si>
  <si>
    <t>302-3</t>
  </si>
  <si>
    <t>Energy efficiency</t>
  </si>
  <si>
    <t>Energy generated from byproducts</t>
  </si>
  <si>
    <t>This indicator measures the total energy generated from by-product or process streams.</t>
  </si>
  <si>
    <t>Energy cost</t>
  </si>
  <si>
    <t>This indicator measures the total cost of energy.</t>
  </si>
  <si>
    <t>Energy cost per unit of product</t>
  </si>
  <si>
    <t>Energy cost fraction in production</t>
  </si>
  <si>
    <t>This indicator measures the total energy costs to the total production costs.</t>
  </si>
  <si>
    <t>Production line</t>
  </si>
  <si>
    <t>22 Manufacture of rubber and plastic products</t>
  </si>
  <si>
    <t>Cost of fuel consumption during distribution</t>
  </si>
  <si>
    <t>This indicator measures the cost of fuel consumption during product distribution.</t>
  </si>
  <si>
    <t>Renewable energy consumption</t>
  </si>
  <si>
    <t>This indicator measures the total energy consumption that comes from renewable sources.</t>
  </si>
  <si>
    <t>Renewable energy consumption percentual</t>
  </si>
  <si>
    <t>Renewable energy consumption for production</t>
  </si>
  <si>
    <t>This indicator measures the total energy consumption for production that comes from renewable sources.</t>
  </si>
  <si>
    <t>Cagno et al. 2019; Cagno et al. 2023</t>
  </si>
  <si>
    <t>Renewable energy consumption not for production</t>
  </si>
  <si>
    <t>This indicator measures the total energy consumption that comes from renewable sources and is not used for production.</t>
  </si>
  <si>
    <t>Cagno et al. 2019</t>
  </si>
  <si>
    <t>Renewable energy consumption intensity</t>
  </si>
  <si>
    <t>Kocmanová et al. 2015</t>
  </si>
  <si>
    <t>13 Manufacture of textiles; 22 Manufacture of rubber and plastic products; 24 Manufacture of basic metals; 25 Manufacture of fabricated metal products, except machinery and equipment; 26 Manufacture of computer, electronic and optical products; 27 Manufacture of electrical equipment; 28 Manufacture of machinery and equipment n.e.c.</t>
  </si>
  <si>
    <t>Energy consumption from wind</t>
  </si>
  <si>
    <t>This indicator measures the wind energy consumption.</t>
  </si>
  <si>
    <t>Energy consumption from solar</t>
  </si>
  <si>
    <t>This indicator measures the solar energy consumption.</t>
  </si>
  <si>
    <t>Energy consumption from hydropower</t>
  </si>
  <si>
    <t>This indicator measures the hydropower energy consumption.</t>
  </si>
  <si>
    <t>Energy consumption from biomass</t>
  </si>
  <si>
    <t>Energy consumption from nuclear</t>
  </si>
  <si>
    <t>This indicator measures the nuclear energy consumption.</t>
  </si>
  <si>
    <t>Non-renewable energy consumption</t>
  </si>
  <si>
    <t>Non-renewable to renewable energy consumption</t>
  </si>
  <si>
    <t>This indicator measures the ratio of non-renewable energy to renewable energy used.</t>
  </si>
  <si>
    <t>Moldavska &amp; Welo 2018</t>
  </si>
  <si>
    <t>Non-renewable energy consumption for production</t>
  </si>
  <si>
    <t>This indicator measures the total energy consumption for production that comes from non-renewable sources.</t>
  </si>
  <si>
    <t>Cagno et al. 2023</t>
  </si>
  <si>
    <t>23 Manufacture of other non-metallic mineral products; 27 Manufacture of electrical equipment; 29 Manufacture of motor vehicles, trailers and semi-trailers; 31 Manufacture of furniture</t>
  </si>
  <si>
    <t>Barni et al. 2022</t>
  </si>
  <si>
    <t>26 Manufacture of computer, electronic and optical products; 28 Manufacture of machinery and equipment n.e.c.; 29 Manufacture of motor vehicles, trailers and semi-trailers</t>
  </si>
  <si>
    <t>Energy consumption from coal</t>
  </si>
  <si>
    <t>This indicator measures the energy consumption from coal.</t>
  </si>
  <si>
    <t>Energy consumption from natural gas</t>
  </si>
  <si>
    <t>This indicator measures the energy consumption from natural gas.</t>
  </si>
  <si>
    <t>Energy consumption from LPG</t>
  </si>
  <si>
    <t>This indicator measures the energy consumption from LPG (Liquefied Petroleum Gas).</t>
  </si>
  <si>
    <t>Energy consumption from petrol/ diesel fuel</t>
  </si>
  <si>
    <t>This indicator measures the energy consumption from petrol/ diesel fuel.</t>
  </si>
  <si>
    <t>14 Manufacture of wearing apparel; 29 Manufacture of motor vehicles, trailers and semi-trailers</t>
  </si>
  <si>
    <t>Energy consumption to run the machine while idle (Idle energy losses)</t>
  </si>
  <si>
    <t>Energy consumption in standby mode of production equipment</t>
  </si>
  <si>
    <t>This indicator measures the energy consumption of production equipment in standby mode.</t>
  </si>
  <si>
    <t>Energy consumption for material handling</t>
  </si>
  <si>
    <t>This indicator measures the energy consumption associated with material handling/ transportation during production.</t>
  </si>
  <si>
    <t>Energy consumption on maintaining working environment</t>
  </si>
  <si>
    <t>This indicator measures the energy consumption associated with maintaining the working environment, e.g., for lighting, heating, or cooling in a building.</t>
  </si>
  <si>
    <t>Water</t>
  </si>
  <si>
    <t>L</t>
  </si>
  <si>
    <t>Huang &amp; Badurdeen 2018; Salvado et al. 2015</t>
  </si>
  <si>
    <t>26 Manufacture of computer, electronic and optical products; 29 Manufacture of motor vehicles, trailers and semi-trailers</t>
  </si>
  <si>
    <t>Water withdrawal</t>
  </si>
  <si>
    <t>303-3</t>
  </si>
  <si>
    <t>Volume Fraction of Water Type</t>
  </si>
  <si>
    <t>Net water footprint</t>
  </si>
  <si>
    <t>This indicator measures the ratio of water withdrawn minus water recycled/ reused to the total amount of water used. (water withdrawn - (water recycled + water reused))/water used</t>
  </si>
  <si>
    <t>Swarnakar et al. 2022</t>
  </si>
  <si>
    <t>Cagno et al. 2019; Gani et al. 2021; Madanchi et al. 2019</t>
  </si>
  <si>
    <t>13 Manufacture of textiles; 28 Manufacture of machinery and equipment n.e.c.; 29 Manufacture of motor vehicles, trailers and semi-trailers; 31 Manufacture of furniture</t>
  </si>
  <si>
    <t>Water cost</t>
  </si>
  <si>
    <t>Huang &amp; Badurdeen 2017; Huang &amp; Badurdeen 2018; Kravchenko et al. 2019</t>
  </si>
  <si>
    <t>13 Manufacture of textiles; 26 Manufacture of computer, electronic and optical products; 28 Manufacture of machinery and equipment n.e.c.; 31 Manufacture of furniture</t>
  </si>
  <si>
    <t xml:space="preserve">Water cost per unit of product </t>
  </si>
  <si>
    <t>Water cost fraction</t>
  </si>
  <si>
    <t>Facilities and equipment</t>
  </si>
  <si>
    <t>Land usage</t>
  </si>
  <si>
    <t>This indicator measures the total area of land used.</t>
  </si>
  <si>
    <t>m³</t>
  </si>
  <si>
    <t>Zhang &amp; Haapala 2015</t>
  </si>
  <si>
    <t>Work cell</t>
  </si>
  <si>
    <t>Green area percentual</t>
  </si>
  <si>
    <t>This indicator measures the green area to total land used.</t>
  </si>
  <si>
    <t>Net green area impact</t>
  </si>
  <si>
    <t>This indicator measures the ratio of the green area removed minus the green area created to the green area removed.</t>
  </si>
  <si>
    <t>Total sealed area</t>
  </si>
  <si>
    <t>This indicator measures the area where the original soil has been covered (e.g., roads, buildings, parking lots), making it impermeable.</t>
  </si>
  <si>
    <t>EMAS</t>
  </si>
  <si>
    <t>Total nature-oriented area on site</t>
  </si>
  <si>
    <t>Total nature-oriented area off site</t>
  </si>
  <si>
    <t>Facility utilization</t>
  </si>
  <si>
    <t>Overall equipment effectiveness</t>
  </si>
  <si>
    <t>This indicator measures the effectiveness of the equipment in manufacturing a product. It is calculated as the product of machine availability, machine performance, and acceptance rate of the product (Availability x Performance x Quality).</t>
  </si>
  <si>
    <t>Facility cost</t>
  </si>
  <si>
    <t>Facility depreciation cost</t>
  </si>
  <si>
    <t>This indicator measures the facility depreciation cost.</t>
  </si>
  <si>
    <t>Equipment cost</t>
  </si>
  <si>
    <t>25 Manufacture of fabricated metal products, except machinery and equipment; 26 Manufacture of computer, electronic and optical products</t>
  </si>
  <si>
    <t>Equipment operating cost</t>
  </si>
  <si>
    <t>Machine and Equipment Depreciation Cost</t>
  </si>
  <si>
    <t>This indicator measures the depreciation cost of machines and equipment.</t>
  </si>
  <si>
    <t>Swarnakar et al. 2021</t>
  </si>
  <si>
    <t>28 Manufacture of machinery and equipment n.e.c.; 29 Manufacture of motor vehicles, trailers and semi-trailers</t>
  </si>
  <si>
    <t>Transforming; Separating; Coating and finishing; Change of material properties</t>
  </si>
  <si>
    <t>Operation time</t>
  </si>
  <si>
    <t>This indicator measures the time a specific piece of equipment is in operation.</t>
  </si>
  <si>
    <t>Qualitative</t>
  </si>
  <si>
    <t>descriptive</t>
  </si>
  <si>
    <t>Lin et al. 2020</t>
  </si>
  <si>
    <t>Use machinery and equipment with compatible signals and displays</t>
  </si>
  <si>
    <t>Pieces of equipment with parts designed for easy disassembly, recycling and reuse</t>
  </si>
  <si>
    <t>Emergency events or non-routine operations</t>
  </si>
  <si>
    <t>Carbon dioxide equivalent per unit driven</t>
  </si>
  <si>
    <t>This indicator measures the CO2 equivalent per unit driven.</t>
  </si>
  <si>
    <t>Operational processes</t>
  </si>
  <si>
    <t>Operational efficiency</t>
  </si>
  <si>
    <t>Production cost</t>
  </si>
  <si>
    <t>Company; Work cell; Process</t>
  </si>
  <si>
    <t>Takt cost</t>
  </si>
  <si>
    <t>Helleno et al. 2017; Swarnakar et al. 2021; Swarnakar et al. 2022</t>
  </si>
  <si>
    <t>Scrap cost</t>
  </si>
  <si>
    <t>This indicator measures the total cost of scrapped material.</t>
  </si>
  <si>
    <t>Huang &amp; Badurdeen 2018; Kravchenko et al. 2019</t>
  </si>
  <si>
    <t>Rework cost</t>
  </si>
  <si>
    <t>Amrina &amp; Yusof 2011; Kravchenko et al. 2019</t>
  </si>
  <si>
    <t>Cost for transportation during manufacturing</t>
  </si>
  <si>
    <t>This indicator measures the costs of transport during manufacturing. It can be calculated as the distance times the fuel consumption times the cost of fuel.</t>
  </si>
  <si>
    <t>Setup cost</t>
  </si>
  <si>
    <t>This indicator measures the setup costs.</t>
  </si>
  <si>
    <t>Amrina &amp; Yusof 2011; Cagno et al. 2019</t>
  </si>
  <si>
    <t>Production time</t>
  </si>
  <si>
    <t>This indicator measures the production time.</t>
  </si>
  <si>
    <t>Hatim et al. 2020</t>
  </si>
  <si>
    <t>Cycle time</t>
  </si>
  <si>
    <t>This indicator measures the cycle time.</t>
  </si>
  <si>
    <t>Setup time</t>
  </si>
  <si>
    <t>This indicator measures the setup time.</t>
  </si>
  <si>
    <t>Garza-Reyes et al. 2018; Lucato et al. 2018</t>
  </si>
  <si>
    <t>Delay time</t>
  </si>
  <si>
    <t>This indicator measures all set-up delays.</t>
  </si>
  <si>
    <t>Changeover time</t>
  </si>
  <si>
    <t>This indicator measures the changeover time.</t>
  </si>
  <si>
    <t>Uptime</t>
  </si>
  <si>
    <t>This indicator measures the total uptime.</t>
  </si>
  <si>
    <t>Lead time</t>
  </si>
  <si>
    <t>This indicator measures the lead time.</t>
  </si>
  <si>
    <t>Machining time</t>
  </si>
  <si>
    <t>This indicator measures the machining time.</t>
  </si>
  <si>
    <t>Avram et al. 2011</t>
  </si>
  <si>
    <t>Welding time</t>
  </si>
  <si>
    <t>This indicator measures the welding time.</t>
  </si>
  <si>
    <t>Facility accident-free days</t>
  </si>
  <si>
    <t>This indicator measures the number of facility accident-free days.</t>
  </si>
  <si>
    <t>Veleva et al. 2001</t>
  </si>
  <si>
    <t>Environmental accidents</t>
  </si>
  <si>
    <t>This indicator measures the number of environmental accidents and includes a description for each accident.</t>
  </si>
  <si>
    <t>Quantitative and Qualitative</t>
  </si>
  <si>
    <t>Cagno et al. 2019; Winroth et al. 2016</t>
  </si>
  <si>
    <t>Spills</t>
  </si>
  <si>
    <t>This indicator measures the total number and volume of (significant/ reportable) spills.</t>
  </si>
  <si>
    <t>306-3 (Effluents and Waste 2016)</t>
  </si>
  <si>
    <t>Scrap</t>
  </si>
  <si>
    <t>Scrap rate</t>
  </si>
  <si>
    <t>Lucato et al. 2018; Swarnakar et al. 2021; Swarnakar et al. 2022; Winroth et al. 2016</t>
  </si>
  <si>
    <t>Work in process inventory</t>
  </si>
  <si>
    <t>This indicator measures the level of work in process inventory.</t>
  </si>
  <si>
    <t>Song &amp; Moon 2019; Swarnakar et al. 2022</t>
  </si>
  <si>
    <t>Inventory cost</t>
  </si>
  <si>
    <t>This indicator measures the holding costs that are associated with storing inventory.</t>
  </si>
  <si>
    <t>Machine performance</t>
  </si>
  <si>
    <t>This indicator measures the machine performance as the cycle time times the ratio of production output to actual production time (cycle time * (production output / actual production time)).</t>
  </si>
  <si>
    <t>Machine availability</t>
  </si>
  <si>
    <t>This indicator measures the ratio of the actual production time to the total available time.</t>
  </si>
  <si>
    <t>Oil leakage</t>
  </si>
  <si>
    <t>This indicator measures the number of leaking spots.</t>
  </si>
  <si>
    <t>Value-added time</t>
  </si>
  <si>
    <t>This indicator measures the value-added time.</t>
  </si>
  <si>
    <t>Brown et al. 2014; Swarnakar et al. 2022; Vinodh et al. 2016</t>
  </si>
  <si>
    <t>Non-value-added time</t>
  </si>
  <si>
    <t>This indicator measures the non-value-added time.</t>
  </si>
  <si>
    <t>Vinodh et al. 2016</t>
  </si>
  <si>
    <t>Separating; Coating and finishing</t>
  </si>
  <si>
    <t>Value-added time ratio</t>
  </si>
  <si>
    <t>This indicator measures the ratio of value-added time to cycle time.</t>
  </si>
  <si>
    <t>Brown et al. 2014; Swarnakar et al. 2021; Swarnakar et al. 2022</t>
  </si>
  <si>
    <t>Value-added cost</t>
  </si>
  <si>
    <t>This indicator measures the value-added cost, which can be calculated as the sum of direct costs.</t>
  </si>
  <si>
    <t>Swarnakar et al. 2022; Vinodh et al. 2016</t>
  </si>
  <si>
    <t>Non-value-added cost</t>
  </si>
  <si>
    <t>This indicator measures the non-value-added cost, which can be calculated as the product of work in process inventory and holding cost.</t>
  </si>
  <si>
    <t>Efficient cost</t>
  </si>
  <si>
    <t>This indicator measures the efficient cost, which can be calculated as the ratio of operation cost to overall equipment efficiency.</t>
  </si>
  <si>
    <t>Helleno et al. 2017; Swarnakar et al. 2020; Swarnakar et al. 2021; Swarnakar et al. 2022</t>
  </si>
  <si>
    <t>Cost cycle efficiency</t>
  </si>
  <si>
    <t>This indicator measures the cost cycle efficiency, which can be calculated as the ratio of efficient cost to stock cost.</t>
  </si>
  <si>
    <t>Helleno et al. 2017; Swarnakar et al. 2021</t>
  </si>
  <si>
    <t>22 Manufacture of rubber and plastic products; 28 Manufacture of machinery and equipment n.e.c.; 29 Manufacture of motor vehicles, trailers and semi-trailers</t>
  </si>
  <si>
    <t>Process cycle efficiency</t>
  </si>
  <si>
    <t>This indicator measures the process cycle efficiency, which can be calculated as the ratio of process time to lead time.</t>
  </si>
  <si>
    <t>Level of economic sustainability</t>
  </si>
  <si>
    <t>Productivity (Production pace)</t>
  </si>
  <si>
    <t>Design of processes</t>
  </si>
  <si>
    <t>Process design for employee safety</t>
  </si>
  <si>
    <t>Working time</t>
  </si>
  <si>
    <t>This indicator measures the hours of working time per day.</t>
  </si>
  <si>
    <t>hours</t>
  </si>
  <si>
    <t>Favi et al. 2017</t>
  </si>
  <si>
    <t>27 Manufacture of electrical equipment</t>
  </si>
  <si>
    <t>Working shifts</t>
  </si>
  <si>
    <t>This indicator measures the number of working shifts.</t>
  </si>
  <si>
    <t>Working days</t>
  </si>
  <si>
    <t>This indicator measures the number of working days per year.</t>
  </si>
  <si>
    <t>Months in overload capacity</t>
  </si>
  <si>
    <t>This indicator meaures the maximal number of months in overload capacity.</t>
  </si>
  <si>
    <t>Assembly design efficiency</t>
  </si>
  <si>
    <t>Design of products</t>
  </si>
  <si>
    <t>New products</t>
  </si>
  <si>
    <t>This indicator measures the number of new products.</t>
  </si>
  <si>
    <t>Product innovativeness</t>
  </si>
  <si>
    <t>This indicator measures the number of sustainable product innovations adopted by the organization.</t>
  </si>
  <si>
    <t>Costs of environmental product innovation</t>
  </si>
  <si>
    <t>This indicator measures the costs associated with environmental product innovation.</t>
  </si>
  <si>
    <t>Lee &amp; Farzipoor Saen 2012</t>
  </si>
  <si>
    <t>Design for end of life</t>
  </si>
  <si>
    <t>Gani et al. 2021; Huang &amp; Badurdeen 2018; Li et al. 2012; ISO14031</t>
  </si>
  <si>
    <t>Labeling of material types</t>
  </si>
  <si>
    <t>Products with instructions regarding environmentally safe use and disposal</t>
  </si>
  <si>
    <t>This indicator measures the percentage of products with instructions regarding environmentally safe use and disposal.</t>
  </si>
  <si>
    <t>Laminated or Compound Materials</t>
  </si>
  <si>
    <t>This indicator measures the mass of laminated materials or compounds in relation to the total weight of the product.</t>
  </si>
  <si>
    <t>Number of Reversible Joints</t>
  </si>
  <si>
    <t>This indicator measures the number of reversible joints [e.g., bolts, screws] to the total number of joints.</t>
  </si>
  <si>
    <t>-</t>
  </si>
  <si>
    <t>Product recyclability</t>
  </si>
  <si>
    <t>This indicator measures the product recyclability, expressed as a percentage of the material that can potentially be recycled relative to the total amount of material of the product.</t>
  </si>
  <si>
    <t>Intensity of energy consumption of products</t>
  </si>
  <si>
    <t>This indicator measures the amount of energy the product requires during a typical year's use per unit of output.</t>
  </si>
  <si>
    <t>OECD</t>
  </si>
  <si>
    <t>Intensity of greenhouse gas (GHG) emissions from products</t>
  </si>
  <si>
    <t>This indicator measures the amount of GHGs generated by a product during a typical year's use per unit of output.</t>
  </si>
  <si>
    <t>Recycled/ reused content of products</t>
  </si>
  <si>
    <t>This indicator measures the weight of recycled and reused content in a product to the total weight of a product.</t>
  </si>
  <si>
    <t>Renewable materials content of products</t>
  </si>
  <si>
    <t>This indicator measures the weight of renewable materials in a product to the total weight of a product.</t>
  </si>
  <si>
    <t>Non-renewable materials intensity over product lifetime</t>
  </si>
  <si>
    <t>This indicator measures the weight of non-renewable content in a product to the expected lifetime of a product.</t>
  </si>
  <si>
    <t>Restricted substances content of products</t>
  </si>
  <si>
    <t>This indicator measures the weight of restricted substances in a product to the total weight of a product.</t>
  </si>
  <si>
    <t>Material reutilization score</t>
  </si>
  <si>
    <t>This indicator measures the ratio of secondary material content and recyclable or biodegradable content in a product to total material content.</t>
  </si>
  <si>
    <t>Syu et al. 2022; ISO14031</t>
  </si>
  <si>
    <t>Products with take-back policies in place</t>
  </si>
  <si>
    <t>Gani et al. 2021; Li et al. 2012</t>
  </si>
  <si>
    <t>Products with explicit "product stewardship" plans</t>
  </si>
  <si>
    <t>This indicator measures the percentage of products with explicit "product stewardship" plans.</t>
  </si>
  <si>
    <t>Products with an environmental label</t>
  </si>
  <si>
    <t>Li et al. 2012</t>
  </si>
  <si>
    <t xml:space="preserve">Efficiency of packaging design  </t>
  </si>
  <si>
    <t>This indicator measures the number of units packaged together for storage or transportation.</t>
  </si>
  <si>
    <t xml:space="preserve">Packaging per Packaging Level </t>
  </si>
  <si>
    <t>Packaging Recyclability per Product</t>
  </si>
  <si>
    <t>This indicator measures the amount of recyclable packaging per product.</t>
  </si>
  <si>
    <t>Maintenance time</t>
  </si>
  <si>
    <t>This indicator measures the total maintenance time.</t>
  </si>
  <si>
    <t>Total productive maintenance ratio</t>
  </si>
  <si>
    <t>Maintenance cost</t>
  </si>
  <si>
    <t>This indicator measures the total costs associated with maintenance.</t>
  </si>
  <si>
    <t>Management processes</t>
  </si>
  <si>
    <t>Policies and programs</t>
  </si>
  <si>
    <t>Environmental management assessment</t>
  </si>
  <si>
    <t>Azapagic &amp; Perdan 2000; Feil et al. 2019; Helleno et al. 2017; Rahdari &amp; Anvary Rostamy 2015</t>
  </si>
  <si>
    <t>Environmental risk assessment</t>
  </si>
  <si>
    <t>Moldavska &amp; Welo 2018; Rahdari &amp; Anvary Rostamy 2015</t>
  </si>
  <si>
    <t>Environmental certifications</t>
  </si>
  <si>
    <t>Cagno et al. 2019; Feil et al. 2019</t>
  </si>
  <si>
    <t>Lean production techniques</t>
  </si>
  <si>
    <t>6R concepts</t>
  </si>
  <si>
    <t>Green manufacturing</t>
  </si>
  <si>
    <t>Costs for environmental management</t>
  </si>
  <si>
    <t>This indicator measures the costs associated with environmental management.</t>
  </si>
  <si>
    <t>Expenditure on employee health and safety</t>
  </si>
  <si>
    <t>Azapagic &amp; Perdan 2000; Kravchenko et al. 2019</t>
  </si>
  <si>
    <t>Investments</t>
  </si>
  <si>
    <t>This indicator measures the total sum of investments.</t>
  </si>
  <si>
    <t>Butnariu &amp; Avasilcai 2015; Dočekalová &amp; Kocmanová 2016; Feil et al. 2019</t>
  </si>
  <si>
    <t>Research &amp; development investments</t>
  </si>
  <si>
    <t>This indicator measures the sum of R&amp;D investments.</t>
  </si>
  <si>
    <t>Expansion investments</t>
  </si>
  <si>
    <t>This indicator measures the sum of investments in the expansion of production scale.</t>
  </si>
  <si>
    <t>Song &amp; Moon 2019</t>
  </si>
  <si>
    <t>30 Manufacture of other transport equipment</t>
  </si>
  <si>
    <t>Environmental investments</t>
  </si>
  <si>
    <t>Energy efficiency investments</t>
  </si>
  <si>
    <t>Sustainability initiatives</t>
  </si>
  <si>
    <t>Initiatives for natural habitat conservation</t>
  </si>
  <si>
    <t>Green technology development projects</t>
  </si>
  <si>
    <t>Achieved objectives</t>
  </si>
  <si>
    <t>This indicator measures the number of objectives/ targets achieved.</t>
  </si>
  <si>
    <t>New solutions/ techniques/ technologies implemented</t>
  </si>
  <si>
    <t>This indicator measures the number of new solutions/ techniques/ technologies implemented.</t>
  </si>
  <si>
    <t>Costs saved from implemented initiatives</t>
  </si>
  <si>
    <t>This indicator measures the total monetary savings achieved through implemented initiatives.</t>
  </si>
  <si>
    <t>302-4</t>
  </si>
  <si>
    <t>Material saved from implemented initiatives</t>
  </si>
  <si>
    <t>CO2-eq</t>
  </si>
  <si>
    <t>Employee training on environmental issues</t>
  </si>
  <si>
    <t>This indicator measures the number of trainings on environmental issues attended by employees.</t>
  </si>
  <si>
    <t>Employee environmental suggestions</t>
  </si>
  <si>
    <t>This indicator measures the number of employee suggestions regarding environmental matters.</t>
  </si>
  <si>
    <t>Employee environmental surveys</t>
  </si>
  <si>
    <t>This indicator describes the results of employee surveys on their knowledge of the organization's environmental issues.</t>
  </si>
  <si>
    <t>Regulatory compliance</t>
  </si>
  <si>
    <t>Overall compliance with laws and regulations</t>
  </si>
  <si>
    <t>Feil et al. 2017; Gani et al. 2021; Hartini et al. 2020; Pinto et al. 2020; ISO14031</t>
  </si>
  <si>
    <t>Notices of environmental non-compliance</t>
  </si>
  <si>
    <t>Dočekalová &amp; Kocmanová 2016; Huang &amp; Badurdeen 2018; Park &amp; Kremer 2017; Veleva et al. 2001</t>
  </si>
  <si>
    <t>Nonmonetary sanctions (environmental compliance)</t>
  </si>
  <si>
    <t>This indicator measures the number of nonmonetary sanctions for noncompliance with environmental regulations.</t>
  </si>
  <si>
    <t>Notices of violation for hazardous material usage</t>
  </si>
  <si>
    <t>This indicator measures the number of notices of violation for hazardous material usage.</t>
  </si>
  <si>
    <t>Notices of violation for waste generated</t>
  </si>
  <si>
    <t>This indicator measures the number of notices of violation for waste generated.</t>
  </si>
  <si>
    <t>Time to respond to environmental incidents</t>
  </si>
  <si>
    <t>This indicator measures the time needed to respond to environmental incidents.</t>
  </si>
  <si>
    <t>Costs associated with compliance</t>
  </si>
  <si>
    <t>This indicator measures the costs incurred to adhere to laws and regulations.</t>
  </si>
  <si>
    <t>Costs associated with EHS compliance</t>
  </si>
  <si>
    <t>Fines for non-compliance</t>
  </si>
  <si>
    <t>This indicator measures the sum of fines for non-compliance, e.g., related to EHS, economic, environmental, or social compliance.</t>
  </si>
  <si>
    <t>Cagno et al. 2019; Cagno et al. 2023; Dočekalová &amp; Kocmanová 2016</t>
  </si>
  <si>
    <t>Fines for environmental non-compliance</t>
  </si>
  <si>
    <t>Frequency of review of operating procedures</t>
  </si>
  <si>
    <t>This indicator measures how often operating procedures are reviewed.</t>
  </si>
  <si>
    <t>Frequency of emergency drills conducted</t>
  </si>
  <si>
    <t>This indicator measures how often emergency drills are conducted.</t>
  </si>
  <si>
    <t>Hazardous material training</t>
  </si>
  <si>
    <t>Number of audits</t>
  </si>
  <si>
    <t>This indicator measures the number of audits.</t>
  </si>
  <si>
    <t>Corrective actions</t>
  </si>
  <si>
    <t>This indicator measures the percentage of identified corrective actions that have been resolved or that are unresolved.</t>
  </si>
  <si>
    <t>Financial performance</t>
  </si>
  <si>
    <t>Costs</t>
  </si>
  <si>
    <t>This indicator measures the total sum of costs.</t>
  </si>
  <si>
    <t>Ratio of profits to cost</t>
  </si>
  <si>
    <t>This indicator measures the ratio of profit to cost.</t>
  </si>
  <si>
    <t>Jiang et al. 2018</t>
  </si>
  <si>
    <t>Capital expenditure (CAPEX)</t>
  </si>
  <si>
    <t>Cost of capital</t>
  </si>
  <si>
    <t>This indicator measures the cost of capital.</t>
  </si>
  <si>
    <t>Operating cost</t>
  </si>
  <si>
    <t>Overhead cost</t>
  </si>
  <si>
    <t>This indicator measures the overhead costs.</t>
  </si>
  <si>
    <t>Unit cost</t>
  </si>
  <si>
    <t>Cagno et al. 2019; Kravchenko et al. 2019; Moldavska &amp; Welo 2018; Paju et al. 2011</t>
  </si>
  <si>
    <t>Company; Production line; Process</t>
  </si>
  <si>
    <t>Direct operating expense (OPEX)</t>
  </si>
  <si>
    <t>Indirect operating expense (OPEX)</t>
  </si>
  <si>
    <t>Revenue</t>
  </si>
  <si>
    <t>This indicator measures the total revenue generated.</t>
  </si>
  <si>
    <t>Revenue growth</t>
  </si>
  <si>
    <t>Chung et al. 2016; Long et al. 2016</t>
  </si>
  <si>
    <t>24 Manufacture of basic metals; 30 Manufacture of other transport equipment</t>
  </si>
  <si>
    <t>Market share</t>
  </si>
  <si>
    <t>This indicator measures the market share.</t>
  </si>
  <si>
    <t>Cagno et al. 2019; Chung et al. 2016; Dočekalová &amp; Kocmanová 2016; Pinto et al. 2020</t>
  </si>
  <si>
    <t>Exports percentual</t>
  </si>
  <si>
    <t>This indicator measures the sum of exports to total sales.</t>
  </si>
  <si>
    <t>Profit</t>
  </si>
  <si>
    <t>This indicator measures the total profit generated.</t>
  </si>
  <si>
    <t>Operating profit</t>
  </si>
  <si>
    <t>This indicator measures the operating profit.</t>
  </si>
  <si>
    <t>Butnariu &amp; Avasilcai 2015; Feil et al. 2017; Hartini et al. 2020</t>
  </si>
  <si>
    <t>13 Manufacture of textiles; 31 Manufacture of furniture</t>
  </si>
  <si>
    <t>Net profit</t>
  </si>
  <si>
    <t>This indicator measures the net profit.</t>
  </si>
  <si>
    <t>Net profit margin</t>
  </si>
  <si>
    <t>This indicator measures the net profit margin (net income / total revenue).</t>
  </si>
  <si>
    <t>Liquid profit</t>
  </si>
  <si>
    <t>This indicator measures the liquid profit.</t>
  </si>
  <si>
    <t>Feil et al. 2019</t>
  </si>
  <si>
    <t>Gross profit margin</t>
  </si>
  <si>
    <t>Value added</t>
  </si>
  <si>
    <t>This indicator measures the value added.</t>
  </si>
  <si>
    <t>Azapagic &amp; Perdan 2000; Dočekalová &amp; Kocmanová 2016; Feil et al. 2019</t>
  </si>
  <si>
    <t>Economic value added (EVA)</t>
  </si>
  <si>
    <t>This indicator measures the economic value added (EVA).</t>
  </si>
  <si>
    <t>Dočekalová &amp; Kocmanová 2016</t>
  </si>
  <si>
    <t>Direct economic value generated and distributed</t>
  </si>
  <si>
    <t>201-1</t>
  </si>
  <si>
    <t>This indicator measures the ratio of value added to operating revenue.</t>
  </si>
  <si>
    <t>Return on invested capital (ROIC)</t>
  </si>
  <si>
    <t>This indicator measures the return on invested capital.</t>
  </si>
  <si>
    <t>Return on equity (ROE)</t>
  </si>
  <si>
    <t>This indicator measures the return on equity, which can be calculated as net profit divided by net assets.</t>
  </si>
  <si>
    <t>Dočekalová &amp; Kocmanová 2016; Jiang et al. 2018; Kocmanová et al. 2015; Long et al. 2016</t>
  </si>
  <si>
    <t>Return on assets (ROA)</t>
  </si>
  <si>
    <t>This indicator measures the return on assets, which can be calculated as net profit to average total assets.</t>
  </si>
  <si>
    <t>Dočekalová &amp; Kocmanová 2016; Feil et al. 2019; Kocmanová et al. 2015; Long et al. 2016</t>
  </si>
  <si>
    <t>Return on sales (ROS)</t>
  </si>
  <si>
    <t>This indicator measures the return on sales, which can be calculated as EBIT divided by sales.</t>
  </si>
  <si>
    <t>Dočekalová &amp; Kocmanová 2016; Kocmanová et al. 2015</t>
  </si>
  <si>
    <t>Return on investment (ROI)</t>
  </si>
  <si>
    <t>This indicator measures the return on investment.</t>
  </si>
  <si>
    <t>Return on investment on innovation</t>
  </si>
  <si>
    <t>This indicator measures the ratio of revenue generated by innovations to the investments in innovations.</t>
  </si>
  <si>
    <t>Return on capital employed (ROCE)</t>
  </si>
  <si>
    <t>This indicator measures the return on capital employed, which can be calculated as the ratio of net profit to average capital employed.</t>
  </si>
  <si>
    <t>24 Manufacture of basic metals; 29 Manufacture of motor vehicles, trailers and semi-trailers; 30 Manufacture of other transport equipment</t>
  </si>
  <si>
    <t>Cash flow</t>
  </si>
  <si>
    <t>This indicator measures the cash flow.</t>
  </si>
  <si>
    <t>Net working capital</t>
  </si>
  <si>
    <t>This indicator measures the net working capital.</t>
  </si>
  <si>
    <t>Quick ratio (acid test)</t>
  </si>
  <si>
    <t>This indicator measures the quick ratio, which can be calculated as the ratio of current assets minus inventory to current liabilities.</t>
  </si>
  <si>
    <t>Long et al. 2016</t>
  </si>
  <si>
    <t>Cash flow to total assets ratio</t>
  </si>
  <si>
    <t>This indicator measures the ratio of cash flow to total assets.</t>
  </si>
  <si>
    <t>Turnover of assets</t>
  </si>
  <si>
    <t>This indicator measures the turnover of assets.</t>
  </si>
  <si>
    <t>Dočekalová &amp; Kocmanová 2016; Long et al. 2016</t>
  </si>
  <si>
    <t>24 Manufacture of basic metals; 27 Manufacture of electrical equipment</t>
  </si>
  <si>
    <t>Turnover of inventory</t>
  </si>
  <si>
    <t>This indicator measures the turnover of inventory.</t>
  </si>
  <si>
    <t>Turnover of receivables</t>
  </si>
  <si>
    <t>This indicator measures the turnover of receivables.</t>
  </si>
  <si>
    <t>Turnover of liabilities</t>
  </si>
  <si>
    <t>This indicator measures the turnover of liabilities.</t>
  </si>
  <si>
    <t>Current assets turnover</t>
  </si>
  <si>
    <t>This indicator measures the current assets turnover.</t>
  </si>
  <si>
    <t>Jiang et al. 2018; Long et al. 2016</t>
  </si>
  <si>
    <t>Operating revenue to total assets ratio</t>
  </si>
  <si>
    <t>This indicator measures the ratio of operating revenue to total assets.</t>
  </si>
  <si>
    <t>Total assets</t>
  </si>
  <si>
    <t>This indicator measures the total assets.</t>
  </si>
  <si>
    <t>Fixed assets</t>
  </si>
  <si>
    <t>Huang &amp; Badurdeen 2017; Kaldas et al. 2021</t>
  </si>
  <si>
    <t>Current assets</t>
  </si>
  <si>
    <t>This indicator measures the current assets, such as inventory.</t>
  </si>
  <si>
    <t>Dočekalová &amp; Kocmanová 2016; Jiang et al. 2018; Long et al. 2016</t>
  </si>
  <si>
    <t>Environmental liabilities</t>
  </si>
  <si>
    <t>This indicator measures environmental liabilities that can have a material impact on the financial status of the organization.</t>
  </si>
  <si>
    <t>Azapagic &amp; Perdan 2000; ISO14031</t>
  </si>
  <si>
    <t>Total assets to total liabilities</t>
  </si>
  <si>
    <t>This indicator measures the ratio of total assets to total liabilities.</t>
  </si>
  <si>
    <t>Board meetings and stakeholder meetings</t>
  </si>
  <si>
    <t>This indicator measures the number of board meetings and stakeholder meetings.</t>
  </si>
  <si>
    <t>Tax payments</t>
  </si>
  <si>
    <t>This indicator measures the total sum of tax payments.</t>
  </si>
  <si>
    <t>Cagno et al. 2019; Feil et al. 2017; Feil et al. 2019; Hartini et al. 2020; Huang &amp; Badurdeen 2017; Kaldas et al. 2021</t>
  </si>
  <si>
    <t>Return on investment for environmental improvement projects</t>
  </si>
  <si>
    <t>This indicator measures the return on investment for environmental improvement projects.</t>
  </si>
  <si>
    <t>Savings achieved through reductions in resource usage, prevention of pollution, or waste recycling</t>
  </si>
  <si>
    <t>This indicator measures savings achieved through reductions in resource usage, prevention of pollution, or waste recycling.</t>
  </si>
  <si>
    <t>Sales revenue attributable to a new product or by-product designed to meet environmental performance or design objectives</t>
  </si>
  <si>
    <t>This indicator measures sales revenue attributable to a new product or by-product designed to meet environmental performance or design objectives.</t>
  </si>
  <si>
    <t>Community relations</t>
  </si>
  <si>
    <t>Environmental reporting</t>
  </si>
  <si>
    <t>Rahdari &amp; Anvary Rostamy 2015; ISO14031</t>
  </si>
  <si>
    <t>Wildlife programs</t>
  </si>
  <si>
    <t>This indicator measures the number of sites with wildlife programs.</t>
  </si>
  <si>
    <t>Investment in community development</t>
  </si>
  <si>
    <t>203-1</t>
  </si>
  <si>
    <t>Resources applied to support of community environmental programs</t>
  </si>
  <si>
    <t>This indicator measures the resources applied to the support of community environmental programs.</t>
  </si>
  <si>
    <t>Azapagic &amp; Perdan 2000; Cagno et al. 2019</t>
  </si>
  <si>
    <t>External inquiries or comments about environmentally related matters</t>
  </si>
  <si>
    <t>This indicator measures the number of external inquiries or comments about environmentally related matters.</t>
  </si>
  <si>
    <t>Press reports on the organization's environmental performance</t>
  </si>
  <si>
    <t>This indicator measures the number of press reports on the organization's environmental performance.</t>
  </si>
  <si>
    <t>Approval ratings from community surveys</t>
  </si>
  <si>
    <t>This indicator measures approval ratings from community surveys.</t>
  </si>
  <si>
    <t>Output</t>
  </si>
  <si>
    <t>Product</t>
  </si>
  <si>
    <t>Production output</t>
  </si>
  <si>
    <t>Favi et al. 2017; Jiang et al. 2018; Lee et al. 2014; Paju et al. 2011</t>
  </si>
  <si>
    <t>Quality of products</t>
  </si>
  <si>
    <t>Product rejects</t>
  </si>
  <si>
    <t>Percent of defective products</t>
  </si>
  <si>
    <t>Acceptance rate of product</t>
  </si>
  <si>
    <t>This indicator measures the ratio of products produced minus products rejected to products produced.</t>
  </si>
  <si>
    <t>Number of customers</t>
  </si>
  <si>
    <t>This indicator measures the total number of customers.</t>
  </si>
  <si>
    <t>Number of new customers</t>
  </si>
  <si>
    <t>This indicator measures the number of new customers.</t>
  </si>
  <si>
    <t>Customer retention rate</t>
  </si>
  <si>
    <t>This indicator measures the rate of retained customers.</t>
  </si>
  <si>
    <t>Chung et al. 2016</t>
  </si>
  <si>
    <t>Customer complaints</t>
  </si>
  <si>
    <t>This indicator measures the number of customer complaints.</t>
  </si>
  <si>
    <t>Amrina &amp; Yusof 2011; Winroth et al. 2016</t>
  </si>
  <si>
    <t>Waste</t>
  </si>
  <si>
    <t>Total waste</t>
  </si>
  <si>
    <t>306-3 (Waste 2020)</t>
  </si>
  <si>
    <t>Waste controlled by permits</t>
  </si>
  <si>
    <t>Faulkner &amp; Badurdeen 2014; Kravchenko et al. 2019; ISO14031</t>
  </si>
  <si>
    <t>Waste segregated percentual</t>
  </si>
  <si>
    <t>This indicator measures the amount of waste that was segregated to the amount of waste generated.</t>
  </si>
  <si>
    <t>Waste stored on site</t>
  </si>
  <si>
    <t>This indicator quantifies the amount of waste generated in the manufacturing process stored on site.</t>
  </si>
  <si>
    <t>Waste diverted from disposal</t>
  </si>
  <si>
    <t>306-4</t>
  </si>
  <si>
    <t>Cost of disposal</t>
  </si>
  <si>
    <t xml:space="preserve">This indicator measures the costs associated with waste disposal and is expressed as a function of the number of disposed items and the corresponding unit disposal cost. </t>
  </si>
  <si>
    <t>Liquid waste disposal cost</t>
  </si>
  <si>
    <t>Transportation cost from facility to disposal site</t>
  </si>
  <si>
    <t>This indicator measures the total transportation cost from facility to disposal site.</t>
  </si>
  <si>
    <t>Transportation cost from facility to recycling plant</t>
  </si>
  <si>
    <t>This indicator measures the total transportation cost from facility to recycling plant.</t>
  </si>
  <si>
    <t>Transportation cost from facility to storage location</t>
  </si>
  <si>
    <t>This indicator measures the total transportation cost from facility to storage location.</t>
  </si>
  <si>
    <t>Solid waste</t>
  </si>
  <si>
    <t>This indicator measures the absolute mass of solid waste generated.</t>
  </si>
  <si>
    <t>Beekaroo et al. 2019; Kravchenko et al. 2019</t>
  </si>
  <si>
    <t>Net solid waste generation</t>
  </si>
  <si>
    <t>Material waste</t>
  </si>
  <si>
    <t>This indicator measures the absolute mass of material waste generated.</t>
  </si>
  <si>
    <t>Paju et al. 2011; Singh et al. 2014; ISO14031</t>
  </si>
  <si>
    <t>This indicator measures the absolute mass of paper and cardboard waste generated.</t>
  </si>
  <si>
    <t>This indicator measures the absolute mass of plastic waste generated.</t>
  </si>
  <si>
    <t>This indicator measures the absolute mass of textile waste generated.</t>
  </si>
  <si>
    <t>Urban waste</t>
  </si>
  <si>
    <t>This indicator measures the absolute mass of urban waste generated.</t>
  </si>
  <si>
    <t>Packaging waste</t>
  </si>
  <si>
    <t>This indicator measures the mass of packaging scrap.</t>
  </si>
  <si>
    <t>Consumables waste</t>
  </si>
  <si>
    <t>This indicator measures the mass of consumables disposed per production output.</t>
  </si>
  <si>
    <t>kg/unit</t>
  </si>
  <si>
    <t>Sludge generated</t>
  </si>
  <si>
    <t>This indicator measures the sludge generated.</t>
  </si>
  <si>
    <t>Liquid waste</t>
  </si>
  <si>
    <t>Gani et al. 2021; Huang &amp; Badurdeen 2018; Kravchenko et al. 2019; Jiang et al. 2012</t>
  </si>
  <si>
    <t>Liquid waste per unit of production</t>
  </si>
  <si>
    <t>This indicator measures the quantity of liquid waste per unit of production.</t>
  </si>
  <si>
    <t>Non-polluted Liquid Waste Volume</t>
  </si>
  <si>
    <t>Polluted Liquid Waste volume</t>
  </si>
  <si>
    <t>This indicator measures the total volume of polluted liquid effluents produced by the company.</t>
  </si>
  <si>
    <t>Pollution Mass Concentration in Liquid Waste</t>
  </si>
  <si>
    <t>Chemical waste</t>
  </si>
  <si>
    <t>This indicator measures the amount of chemical waste.</t>
  </si>
  <si>
    <t>Hazardous waste</t>
  </si>
  <si>
    <t>Hazardous waste per unit of production</t>
  </si>
  <si>
    <t>This indicator measures the amount of hazardous waste per unit of production.</t>
  </si>
  <si>
    <t>Hazardous solid waste</t>
  </si>
  <si>
    <t>This indicator measures the amount of hazardous solid waste.</t>
  </si>
  <si>
    <t>Cagno et al. 2019; Cagno et al. 2023; Kravchenko et al. 2019</t>
  </si>
  <si>
    <t>Hazardous liquid waste</t>
  </si>
  <si>
    <t>This indicator measures the amount of hazardous liquid waste.</t>
  </si>
  <si>
    <t>Hazardous Sludge Volume</t>
  </si>
  <si>
    <t>This indicator measures the volume of hazardous sludge.</t>
  </si>
  <si>
    <t>Non-hazardous waste</t>
  </si>
  <si>
    <t>This indicator measures the amount of non-hazardous waste.</t>
  </si>
  <si>
    <t>Bao &amp; Bodapati 2012; Salvado et al. 2015</t>
  </si>
  <si>
    <t>Non-hazardous solid waste</t>
  </si>
  <si>
    <t>This indicator measures the amount of non-hazardous solid waste.</t>
  </si>
  <si>
    <t>Non-hazardous liquid waste</t>
  </si>
  <si>
    <t>This indicator measures the amount of non-hazardous liquid waste.</t>
  </si>
  <si>
    <t>Total waste disposed</t>
  </si>
  <si>
    <t>Cagno et al. 2019; Feil et al. 2017; Hartini et al. 2020; Rao et al. 2006; ISO14031</t>
  </si>
  <si>
    <t>Disposed solid waste</t>
  </si>
  <si>
    <t>This indicator measures the solid waste disposed (not recycled).</t>
  </si>
  <si>
    <t>Waste to landfill</t>
  </si>
  <si>
    <t>Packaging to Landfill</t>
  </si>
  <si>
    <t>This indicator measures the total mass of packaging used that goes to landfill (i.e. packaging that is not reused or recycled). It can also be measured as a percentage to the total packaging used.</t>
  </si>
  <si>
    <t>Recycled waste</t>
  </si>
  <si>
    <t>Recycled by-products</t>
  </si>
  <si>
    <t>This indicator measures the amount of recycled by-products to the total amount of by-products generated.</t>
  </si>
  <si>
    <t>Amount of recycled defects</t>
  </si>
  <si>
    <t>This indicator measures the number of recycled defective products to the total number of defective products.</t>
  </si>
  <si>
    <t>This indicator measures the amount of scrap recycled.</t>
  </si>
  <si>
    <t>13 Manufacture of textiles; 26 Manufacture of computer, electronic and optical products; 28 Manufacture of machinery and equipment n.e.c.; 29 Manufacture of motor vehicles, trailers and semi-trailers; 31 Manufacture of furniture</t>
  </si>
  <si>
    <t>Recycled solid waste mass fraction</t>
  </si>
  <si>
    <t>This indicator measures the mass of recycled solid waste to the total mass of solid waste generated.</t>
  </si>
  <si>
    <t>Waste converted to Reusable Material</t>
  </si>
  <si>
    <t>This indicator measures the amount of waste generated by the production process converted to reusable material.</t>
  </si>
  <si>
    <t>Reused/ recycled non-hazardous waste</t>
  </si>
  <si>
    <t>This indicator measures the mass of reused or recycled non-hazardous waste.</t>
  </si>
  <si>
    <t>Reused/ recycled hazardous waste</t>
  </si>
  <si>
    <t>This indicator measures the mass of reused or recycled hazardous waste.</t>
  </si>
  <si>
    <t>Reused solid waste</t>
  </si>
  <si>
    <t>This indicator measures the mass of reused solid weight.</t>
  </si>
  <si>
    <t>Reused/ recycled consumables</t>
  </si>
  <si>
    <t>This indicator measures the mass of reused or recycled consumables.</t>
  </si>
  <si>
    <t>Reused/ recycled restricted material</t>
  </si>
  <si>
    <t>This indicator measures the mass of reused or recycled restricted material.</t>
  </si>
  <si>
    <t>Water discharged</t>
  </si>
  <si>
    <t>303-4</t>
  </si>
  <si>
    <t>Water discharge intensity</t>
  </si>
  <si>
    <t>Wastewater discharged</t>
  </si>
  <si>
    <t>Wastewater treatment rate</t>
  </si>
  <si>
    <t>Feil et al. 2017; Hartini et al. 2020; Kravchenko et al. 2019</t>
  </si>
  <si>
    <t>Specific pollutants of water discharged</t>
  </si>
  <si>
    <t>COD (Chemical Oxygen Demand) emissions</t>
  </si>
  <si>
    <t>This indicator measures the COD discharged in ppm in effluent.</t>
  </si>
  <si>
    <t>ppm in effluent</t>
  </si>
  <si>
    <t>Butnariu &amp; Avasilcai 2015; Cagno et al. 2019; Kravchenko et al. 2019; Long et al. 2016</t>
  </si>
  <si>
    <t>BOD (Biological/ Biochemical Oxygen Demand) emissions</t>
  </si>
  <si>
    <t>This indicator measures the BOD discharged in ppm in effluent.</t>
  </si>
  <si>
    <t>Butnariu &amp; Avasilcai 2015; Cagno et al. 2019; Kravchenko et al. 2019</t>
  </si>
  <si>
    <t>Zinc emissions</t>
  </si>
  <si>
    <t>This indicator measures the emissions of zinc to water.</t>
  </si>
  <si>
    <t>Bao &amp; Bodapati 2012</t>
  </si>
  <si>
    <t>Cadmium emissions</t>
  </si>
  <si>
    <t>This indicator measures the emissions of cadmium to water.</t>
  </si>
  <si>
    <t>Chromium emissions</t>
  </si>
  <si>
    <t>This indicator measures the emissions of chromium to water.</t>
  </si>
  <si>
    <t>Lead emissions</t>
  </si>
  <si>
    <t>This indicator measures the emissions of lead to water.</t>
  </si>
  <si>
    <t>Mercury emissions</t>
  </si>
  <si>
    <t>This indicator measures the emissions of mercury to water.</t>
  </si>
  <si>
    <t>Nickel emissions</t>
  </si>
  <si>
    <t>This indicator measures the emissions of nickel to water.</t>
  </si>
  <si>
    <t>Emissions</t>
  </si>
  <si>
    <t>Emissions to air</t>
  </si>
  <si>
    <t>Linke et al. 2013; Kocmanová et al. 2015; OECD</t>
  </si>
  <si>
    <t>Opacity around the plant</t>
  </si>
  <si>
    <t>This indicator measures the overall average opacity around the plant.</t>
  </si>
  <si>
    <t>Costs of purifying air</t>
  </si>
  <si>
    <t>This indicator measures the total costs incurred by the company from running an air purification system (this can include energy costs).</t>
  </si>
  <si>
    <t>Fuel emissions-exhaust</t>
  </si>
  <si>
    <t>This indicator measures the fuel emissions-exhaust per production output.</t>
  </si>
  <si>
    <t>Emissions of greenhouse gases</t>
  </si>
  <si>
    <t>305-4</t>
  </si>
  <si>
    <t>Direct greenhouse gas emissions (Scope 1)</t>
  </si>
  <si>
    <t>305-1</t>
  </si>
  <si>
    <t>Indirect greenhouse gas emissions (Scope 2)</t>
  </si>
  <si>
    <t>305-2</t>
  </si>
  <si>
    <t>Greenhouse Gases from Energy Use in manufacturing</t>
  </si>
  <si>
    <t>Faulkner &amp; Badurdeen 2014; Kravchenko et al. 2019</t>
  </si>
  <si>
    <t>Greenhouse Gases from Energy Use in non-primary manufacturing operations</t>
  </si>
  <si>
    <t>This indicator measures the total CO2 emissions  (CO2, CH4, N2O, HFCs, PFCs, SF6 tons of CO2 equivalent) from energy use during non-primary operations.</t>
  </si>
  <si>
    <t>Carbon Dioxide (CO2) emissions</t>
  </si>
  <si>
    <t>This indicator measures the carbon dioxide emissions.</t>
  </si>
  <si>
    <t>Net CO2 emissions</t>
  </si>
  <si>
    <t>Emissions of acid gases</t>
  </si>
  <si>
    <t>SO2-eq</t>
  </si>
  <si>
    <t>Nitrogen Oxides (NOx) emissions</t>
  </si>
  <si>
    <t>This indicator measures the NOx emissions.</t>
  </si>
  <si>
    <t>Sulfur Dioxide (SO2) emissions</t>
  </si>
  <si>
    <t>This indicator measures the SO2 emissions.</t>
  </si>
  <si>
    <t>Emissions of ozone-depleting substances</t>
  </si>
  <si>
    <t>CFC11-eq</t>
  </si>
  <si>
    <t>305-6</t>
  </si>
  <si>
    <t>Chlorofluorocarbons (CFC) emissions</t>
  </si>
  <si>
    <t>This indicator measures the total CFC emissions.</t>
  </si>
  <si>
    <t>Photochemical ozone-creating emissions</t>
  </si>
  <si>
    <t>This indicator measures the photochemical ozone-creating emissions in ethylene equivalents.</t>
  </si>
  <si>
    <t>C2H4-eq</t>
  </si>
  <si>
    <t>Volatile Organic Compounds (VOC) emissions</t>
  </si>
  <si>
    <t>This indicator measures the volatile organic compounds (VOCs) emissions, which are indicators of smog and ground-level ozone and can also cause neurological health problems.</t>
  </si>
  <si>
    <t>Carbon Monoxide (CO) emissions</t>
  </si>
  <si>
    <t>This indicator measures the emissions of carbon monoxide (CO).</t>
  </si>
  <si>
    <t>Toxic emissions</t>
  </si>
  <si>
    <t>This indicator measures the lead emissions.</t>
  </si>
  <si>
    <t>Polycyclic aromatic hydrocarbons</t>
  </si>
  <si>
    <t>This indicator measures the quantity of polycyclic aromatic hydrocarbon (PAHs) emissions.</t>
  </si>
  <si>
    <t>Ni-eq</t>
  </si>
  <si>
    <t>This indicator measures the quantity of PM emissions.</t>
  </si>
  <si>
    <t>Mass of mist generation</t>
  </si>
  <si>
    <t>This indicator measures the mass of mist generated per production output.</t>
  </si>
  <si>
    <t>Faulkner &amp; Badurdeen 2014</t>
  </si>
  <si>
    <t>Waste energy emission</t>
  </si>
  <si>
    <t>Noise</t>
  </si>
  <si>
    <t>dB</t>
  </si>
  <si>
    <t>Noise level outside the factory</t>
  </si>
  <si>
    <t>This indicator measures the noise level outside of the factory.</t>
  </si>
  <si>
    <t>24 Manufacture of basic metals; 26 Manufacture of computer, electronic and optical products</t>
  </si>
  <si>
    <t>Noise level in the factory</t>
  </si>
  <si>
    <t>This indicator measures the noise level in the factory.</t>
  </si>
  <si>
    <t>Supply &amp; Delivery</t>
  </si>
  <si>
    <t>Supply</t>
  </si>
  <si>
    <t>Number of suppliers</t>
  </si>
  <si>
    <t>This indicator measures the total number of suppliers.</t>
  </si>
  <si>
    <t>Supplier assessment</t>
  </si>
  <si>
    <t>This indicator queries supplier assessment. It can be a summary of any assessment of suppliers and contractors on supply chain considerations, quality, and environmental performance.</t>
  </si>
  <si>
    <t>Suppliers without EHS violations</t>
  </si>
  <si>
    <t>Fan et al. 2010; Li et al. 2012</t>
  </si>
  <si>
    <t>204-1</t>
  </si>
  <si>
    <t>Cost of supplier education and training</t>
  </si>
  <si>
    <t xml:space="preserve">This indicator measures the amount of money spent on suppliers education and training to equip/ enrich suppliers with the knowledge and skills in relation to sustainability solutions and innovative projects. </t>
  </si>
  <si>
    <t>Percentage of business meetings conducted remotely</t>
  </si>
  <si>
    <t>This indicator measures the percentage of business meetings conducted remotely.</t>
  </si>
  <si>
    <t>Number of business trips by each mode of transportation</t>
  </si>
  <si>
    <t>This indicator measures the number of business trips by each mode of transportation.</t>
  </si>
  <si>
    <t>Toxic materials used by contracted service providers</t>
  </si>
  <si>
    <t>This indicator measures the amount of toxic materials used by contracted service providers.</t>
  </si>
  <si>
    <t>Hazardous cleaning agents used by contracted service providers</t>
  </si>
  <si>
    <t>This indicator measures the amount of hazardous cleaning agents used by contracted service providers.</t>
  </si>
  <si>
    <t>Recyclable and reusable materials used by contracted service providers</t>
  </si>
  <si>
    <t>This indicator measures the amount of recyclable and reusable materials used by contracted service providers.</t>
  </si>
  <si>
    <t>Waste generated by contracted service providers</t>
  </si>
  <si>
    <t>This indicator measures the waste generated by contracted service providers, by type.</t>
  </si>
  <si>
    <t>Delivery</t>
  </si>
  <si>
    <t>Logistics cost</t>
  </si>
  <si>
    <t>Delivery cost</t>
  </si>
  <si>
    <t>This indicator measures the cost associated with the delivery of products.</t>
  </si>
  <si>
    <t>Warehouse cost</t>
  </si>
  <si>
    <t>This indicator measures the warehouse costs.</t>
  </si>
  <si>
    <t>Huang &amp; Badurdeen 2017</t>
  </si>
  <si>
    <t>On-time delivery</t>
  </si>
  <si>
    <t>Deliveries by mode of transportation</t>
  </si>
  <si>
    <t>This indicator measures the number of deliveries by mode of transport.</t>
  </si>
  <si>
    <t>Load mode of transport</t>
  </si>
  <si>
    <t>Vehicles in fleet with pollution abatement technology</t>
  </si>
  <si>
    <t>This indicator measures the number of vehicles in the fleet that are equipped with pollution abatement technology.</t>
  </si>
  <si>
    <t>Number of employees</t>
  </si>
  <si>
    <t>This indicator measures the total number of employees.</t>
  </si>
  <si>
    <t>Azapagic &amp; Perdan 2000; Salvado et al. 2015</t>
  </si>
  <si>
    <t>Staff turnover</t>
  </si>
  <si>
    <t>This indicator measures the ratio of the number of new employees to the number of employees made redundant.</t>
  </si>
  <si>
    <t>Azapagic &amp; Perdan 2000</t>
  </si>
  <si>
    <t>Labor cost</t>
  </si>
  <si>
    <t>Labor cost for production</t>
  </si>
  <si>
    <t>This indicator measures the direct labor costs, i.e., for the operators.</t>
  </si>
  <si>
    <t>Huang &amp; Badurdeen 2018; Tan et al. 2015</t>
  </si>
  <si>
    <t>Indirect labor cost</t>
  </si>
  <si>
    <t>This indicator measures the indirect labor costs, e.g., for maintenance, cleaning, and material handling.</t>
  </si>
  <si>
    <t>Faulkner &amp; Badurdeen 2014; Huang &amp; Badurdeen 2018</t>
  </si>
  <si>
    <t>Investment in employee development</t>
  </si>
  <si>
    <t>Number of courses/ conferences/ workshops attended</t>
  </si>
  <si>
    <t>(Initial) Training cost</t>
  </si>
  <si>
    <t>This indicator measures the cost of employee training (initial training for the job).</t>
  </si>
  <si>
    <t>Percentage of employees trained versus the percentage that need training</t>
  </si>
  <si>
    <t>Percentage of contracted individuals trained versus the percentage that needs to be trained</t>
  </si>
  <si>
    <t>This indicator measures the percentage of contracted individuals trained versus the percentage that needs to be trained.</t>
  </si>
  <si>
    <t>Comparison of the wages with the value set by the market</t>
  </si>
  <si>
    <t>This indicator measures the ratio of the lowest wage to the minimum wage.</t>
  </si>
  <si>
    <t>Feil et al. 2017; Hartini et al. 2020; Winroth et al. 2016</t>
  </si>
  <si>
    <t>Employee benefits</t>
  </si>
  <si>
    <t>Employee productivity</t>
  </si>
  <si>
    <t>Kocmanová et al. 2015; Jiang et al. 2018; Winroth et al. 2016</t>
  </si>
  <si>
    <t>Utilization of manual labor (Labor efficiency)</t>
  </si>
  <si>
    <t>General categorization</t>
  </si>
  <si>
    <t>Reference</t>
  </si>
  <si>
    <t>Full information</t>
  </si>
  <si>
    <t>Akbar &amp; Irohara 2018</t>
  </si>
  <si>
    <t>Akbar, M.; Irohara, T.: Scheduling for sustainable manufacturing: A review. Journal of Cleaner Production 205 (2018), S. 866‑883.</t>
  </si>
  <si>
    <t>Amrina &amp; Vilsi 2015</t>
  </si>
  <si>
    <t>Amrina, E.; Vilsi, A. L.: Key Performance Indicators for Sustainable Manufacturing Evaluation in Cement Industry. Procedia CIRP 26 (2015), S. 19‑23.</t>
  </si>
  <si>
    <t>Amrina &amp; Yusof 2011</t>
  </si>
  <si>
    <t>Azapagic, A.; Perdan, S.: Indicators of Sustainable Development for Industry. Process Safety and Environmental Protection 78 (2000) 4, S. 243‑261.</t>
  </si>
  <si>
    <t>Beekaroo et al. 2019</t>
  </si>
  <si>
    <t>Beekaroo, D.; Callychurn, D. S.; Hurreeram, D. K.: Developing a sustainability index for Mauritian manufacturing companies. Ecological Indicators 96 (2019), S. 250‑257.</t>
  </si>
  <si>
    <t>Bhakar, V.; Digalwar, A. K.; Sangwan, K. S.: Sustainability Assessment Framework for Manufacturing Sector – A Conceptual Model. Procedia CIRP 69 (2018), S. 248‑253.</t>
  </si>
  <si>
    <t>Bhanot, N.; Rao, P. V.; Deshmukh, S. G.: An Assessment of Sustainability for Turning Process in an Automobile Firm. Procedia CIRP 48 (2016), S. 538‑543.</t>
  </si>
  <si>
    <t>Brown et al. 2014</t>
  </si>
  <si>
    <t>Brown, A.; Amundson, J.; Badurdeen, F.: Sustainable value stream mapping (Sus-VSM) in different manufacturing system configurations: application case studies. Journal of Cleaner Production 85 (2014), S. 164‑179.</t>
  </si>
  <si>
    <t>Butnariu &amp; Avasilcai 2015</t>
  </si>
  <si>
    <t>Butnariu, A.; Avasilcai, S.: The Assessment of The Companies’ Sustainable Development Performance. Procedia Economics and Finance 23 (2015), S. 1233‑1238.</t>
  </si>
  <si>
    <t>Cagno, E.; Neri, A.; Howard, M.; Brenna, G.; Trianni, A.: Industrial sustainability performance measurement systems: A novel framework. Journal of Cleaner Production 230 (2019), S. 1354‑1375.</t>
  </si>
  <si>
    <t>Cagno, E.; Negri, M.; Neri, A.; Giambone, M.: One Framework to Rule Them All: An Integrated, Multi-level and Scalable Performance Measurement Framework of Sustainability, Circular Economy and Industrial Symbiosis. Sustainable Production and Consumption 35 (2023), S. 55‑71.</t>
  </si>
  <si>
    <t>Dočekalová, M. P.; Kocmanová, A.: Composite indicator for measuring corporate sustainability. Ecological Indicators 61 (2016), S. 612‑623.</t>
  </si>
  <si>
    <t>Eastwood &amp; Haapala 2015</t>
  </si>
  <si>
    <t>Eastwood, M. D.; Haapala, K. R.: A unit process model based methodology to assist product sustainability assessment during design for manufacturing. Journal of Cleaner Production 108 (2015), S. 54‑64.</t>
  </si>
  <si>
    <t>European Commission: EMAS User's Guide. &lt;https://green-business.ec.europa.eu/publications/emas-users-guide-0_en&gt; - 01.02.2024.</t>
  </si>
  <si>
    <t>Fan et al. 2010</t>
  </si>
  <si>
    <t>Faulkner, W.; Badurdeen, F.: Sustainable Value Stream Mapping (Sus-VSM): methodology to visualize and assess manufacturing sustainability performance. Journal of Cleaner Production 85 (2014), S. 8‑18.</t>
  </si>
  <si>
    <t>Favi, C.; Germani, M.; Mandolini, M.; Marconi, M.: A Software Tool for the Analysis and Management of Resource Consumptions and Environmental Impacts of Manufacturing Plants. Procedia CIRP 61 (2017), S. 341‑346.</t>
  </si>
  <si>
    <t>Feil et al. 2017</t>
  </si>
  <si>
    <t>Fijał 2007</t>
  </si>
  <si>
    <t>Fijał, T.: An environmental assessment method for cleaner production technologies. Journal of Cleaner Production 15 (2007) 10, S. 914‑919.</t>
  </si>
  <si>
    <t>Gani, A.; Asjad, M.; Talib, F.; Khan, Z. A.; Siddiquee, A. N.: Identification, ranking and prioritisation of vital environmental sustainability indicators in manufacturing sector using pareto analysis cum best-worst method. International Journal of Sustainable Engineering 14 (2021) 3, S. 226‑244.</t>
  </si>
  <si>
    <t>Gao, Q.; Lizarazo-Adarme, J.; Paul, B. K.; Haapala, K. R.: An economic and environmental assessment model for microchannel device manufacturing: part 1 – Methodology. Journal of Cleaner Production 120 (2016), S. 135‑145.</t>
  </si>
  <si>
    <t>Garza-Reyes, J. A.; Torres Romero, J.; Govindan, K.; Cherrafi, A.; Ramanathan, U.: A PDCA-based approach to Environmental Value Stream Mapping (E-VSM). Journal of Cleaner Production 180 (2018), S. 335‑348.</t>
  </si>
  <si>
    <t>Hartini et al. 2020</t>
  </si>
  <si>
    <t>Hartini, S.; Ciptomulyono, U.; Anityasari, M.; Sriyanto: Manufacturing sustainability assessment using a lean manufacturing tool. International Journal of Lean Six Sigma 11 (2020) 5, S. 943‑971.</t>
  </si>
  <si>
    <t>Helleno et al. 2017</t>
  </si>
  <si>
    <t>Helleno, A. L.; Moraes, A. J. de; Simon, A. T.: Integrating sustainability indicators and Lean Manufacturing to assess manufacturing processes: Application case studies in Brazilian industry. Journal of Cleaner Production 153 (2017), S. 405‑416.</t>
  </si>
  <si>
    <t>Herva, M.; Franco, A.; Ferreiro, S.; Alvarez, A.; Roca, E.: An approach for the application of the Ecological Footprint as environmental indicator in the textile sector. Journal of hazardous materials 156 (2008) 1-3, S. 478‑487.</t>
  </si>
  <si>
    <t>Huang, A.; Badurdeen, F.: Sustainable Manufacturing Performance Evaluation: Integrating Product and Process Metrics for Systems Level Assessment. Procedia Manufacturing 8 (2017), S. 563‑570.</t>
  </si>
  <si>
    <t>Huang, A.; Badurdeen, F.: Metrics-based approach to evaluate sustainable manufacturing performance at the production line and plant levels. Journal of Cleaner Production 192 (2018), S. 462‑476.</t>
  </si>
  <si>
    <t>ISO 14031: Environmental management — Environmental performance evaluation — Guidelines. Vernier: ISO 2021.</t>
  </si>
  <si>
    <t>Jiang et al. 2012</t>
  </si>
  <si>
    <t>Jiang, Z.; Zhang, H.; Yan, W.; Zhou, M.; Li, G.: A method for evaluating environmental performance of machining systems. International Journal of Computer Integrated Manufacturing 25 (2012) 6, S. 488‑495.</t>
  </si>
  <si>
    <t>Jiang, Q.; Liu, Z.; Liu, W.; Li, T.; Cong, W.; Zhang, H.; Shi, J.: A principal component analysis based three-dimensional sustainability assessment model to evaluate corporate sustainable performance. Journal of Cleaner Production 187 (2018), S. 625‑637.</t>
  </si>
  <si>
    <t>Jiang et al. 2019</t>
  </si>
  <si>
    <t>Kaldas et al. 2021</t>
  </si>
  <si>
    <t>Kaldas, O.; Shihata, L. A.; Kiefer, J.: An index-based sustainability assessment framework for manufacturing organizations. Procedia CIRP 97 (2021), S. 235‑240.</t>
  </si>
  <si>
    <t>Kravchenko, M.; Pigosso, D. C.; McAloone, T. C.: Towards the ex-ante sustainability screening of circular economy initiatives in manufacturing companies: Consolidation of leading sustainability-related performance indicators. Journal of Cleaner Production 241 (2019), S. 1‑19.</t>
  </si>
  <si>
    <t>Lee, J. Y.; Kang, H. S.; Noh, S. D.: MAS2: an integrated modeling and simulation-based life cycle evaluation approach for sustainable manufacturing. Journal of Cleaner Production 66 (2014), S. 146‑163.</t>
  </si>
  <si>
    <t>Lee, K.-H.; Farzipoor Saen, R.: Measuring corporate sustainability management: A data envelopment analysis approach. International Journal of Production Economics 140 (2012) 1, S. 219‑226.</t>
  </si>
  <si>
    <t>Linke et al. 2013</t>
  </si>
  <si>
    <t>Linke, B. S.; Corman, G. J.; Dornfeld, D. A.; Tönissen, S.: Sustainability indicators for discrete manufacturing processes applied to grinding technology. Journal of Manufacturing Systems 32 (2013) 4, S. 556‑563.</t>
  </si>
  <si>
    <t>Long, Y.; Pan, J.; Farooq, S.; Boer, H.: A sustainability assessment system for Chinese iron and steel firms. Journal of Cleaner Production 125 (2016), S. 133‑144.</t>
  </si>
  <si>
    <t>Madanchi et al. 2019</t>
  </si>
  <si>
    <t>Mengistu &amp; Panizzolo 2021</t>
  </si>
  <si>
    <t>Mengistu, A. T.; Panizzolo, R.: Tailoring sustainability indicators to small and medium enterprises for measuring industrial sustainability performance. Measuring Business Excellence 27 (2023) 1, S. 54‑70.</t>
  </si>
  <si>
    <t>OECD: The OECD Sustainable Manufacturing Toolkit. &lt;https://www.oecd.org/innovation/green/toolkit/48704993.pdf&gt; - 03.12.2023.</t>
  </si>
  <si>
    <t>Paju et al. 2011</t>
  </si>
  <si>
    <t>Park, K.; Kremer, G. E.: Text mining-based categorization and user perspective analysis of environmental sustainability indicators for manufacturing and service systems. Ecological Indicators 72 (2017), S. 803‑820.</t>
  </si>
  <si>
    <t>Rahdari &amp; Anvary Rostamy 2015</t>
  </si>
  <si>
    <t>Rahdari, A. H.; Anvary Rostamy, A. A.: Designing a general set of sustainability indicators at the corporate level. Journal of Cleaner Production 108 (2015), S. 757‑771.</t>
  </si>
  <si>
    <t>Rao 2008</t>
  </si>
  <si>
    <t>Rao, P.; La O' Castillo, O.; Intal, P. S.; Sajid, A.: Environmental indicators for small and medium enterprises in the Philippines: An empirical research. Journal of Cleaner Production 14 (2006) 5, S. 505‑515.</t>
  </si>
  <si>
    <t>Rao, R. V.: Environmental impact assessment of manufacturing processes using a combinatorial mathematics based decision making method. International Journal of Sustainable Engineering 1 (2008) 1, S. 42‑50.</t>
  </si>
  <si>
    <t>Saad, M. H.; Darras, B. M.; Nazzal, M. A.: Evaluation of Welding Processes Based on Multi-dimensional Sustainability Assessment Model. International Journal of Precision Engineering and Manufacturing-Green Technology 8 (2021) 1, S. 57‑75.</t>
  </si>
  <si>
    <t>Salvado et al. 2015</t>
  </si>
  <si>
    <t>Salvado, M.; Azevedo, S.; Matias, J.; Ferreira, L.: Proposal of a Sustainability Index for the Automotive Industry. Sustainability 7 (2015) 2, S. 2113‑2144.</t>
  </si>
  <si>
    <t>Saxena et al. 2020</t>
  </si>
  <si>
    <t>Singh et al. 2014</t>
  </si>
  <si>
    <t>Singh, R. K.; Murty, H. R.; Gupta, S. K.; Dikshit, A. K.: Development of composite sustainability performance index for steel industry. Ecological Indicators 7 (2007) 3, S. 565‑588.</t>
  </si>
  <si>
    <t>Singh, S.; Goodyer, J.; Popplewell, K.: Integrated environmental process planning for the design and manufacture of automotive components. International Journal of Production Research 45 (2007) 18-19, S. 4189‑4205.</t>
  </si>
  <si>
    <t>Soltani et al. 2019</t>
  </si>
  <si>
    <t>Soltani, M.; Aouag, H.; Mouss, M. D.: An integrated framework using VSM, AHP and TOPSIS for simplifying the sustainability improvement process in a complex manufacturing process. Journal of Engineering, Design and Technology 18 (2019) 1, S. 211‑229.</t>
  </si>
  <si>
    <t>Swarnakar et al. 2020</t>
  </si>
  <si>
    <t>Syu et al. 2022</t>
  </si>
  <si>
    <t>Syu, F.-S.; Vasudevan, A.; Despeisse, M.; Chari, A.; Bekar, E. T.; Gonçalves, M. M.; Estrela, M. A.: Usability and Usefulness of Circularity Indicators for Manufacturing Performance Management. Procedia CIRP 105 (2022), S. 835‑840.</t>
  </si>
  <si>
    <t>Taddese, G.; Durieux, S.; Duc, E.: Sustainability performance indicators for additive manufacturing: a literature review based on product life cycle studies. The International Journal of Advanced Manufacturing Technology 107 (2020) 7-8, S. 3109‑3134.</t>
  </si>
  <si>
    <t>Tan et al. 2015</t>
  </si>
  <si>
    <t>Tan, H. X.; Yeo, Z.; Ng, R.; Tjandra, T. B.; Song, B.: A Sustainability Indicator Framework for Singapore Small and Medium-Sized Manufacturing Enterprises. Procedia CIRP 29 (2015), S. 132‑137.</t>
  </si>
  <si>
    <t>Veleva, V.; Hart, M.; Greiner, T.; Crumbley, C.: Indicators of sustainable production. Journal of Cleaner Production 9 (2001) 5, S. 447‑452.</t>
  </si>
  <si>
    <t>Vimal et al. 2015</t>
  </si>
  <si>
    <t>Vimal, K.; Vinodh, S.; Raja, A.: Modelling, assessment and deployment of strategies for ensuring sustainable shielded metal arc welding process – a case study. Journal of Cleaner Production 93 (2015), S. 364‑377.</t>
  </si>
  <si>
    <t>Winroth, M.; Almström, P.; Andersson, C.: Sustainable production indicators at factory level. Journal of Manufacturing Technology Management 27 (2016) 6, S. 842‑873.</t>
  </si>
  <si>
    <t>Zarte et al. 2019</t>
  </si>
  <si>
    <t>Zarte, M.; Pechmann, A.; Nunes, I. L.: Indicator framework for sustainable production planning and controlling. International Journal of Sustainable Engineering 12 (2019) 3, S. 149‑158.</t>
  </si>
  <si>
    <t>Zhang, H.; Haapala, K. R.: Integrating sustainable manufacturing assessment into decision making for a production work cell. Journal of Cleaner Production 105 (2015), S. 52‑63.</t>
  </si>
  <si>
    <t>Bhanot et al. 2016a; Bhanot et al. 2016b</t>
  </si>
  <si>
    <t>Bhanot et al. 2016b</t>
  </si>
  <si>
    <t>Bhanot et al. 2016a</t>
  </si>
  <si>
    <t>Mengistu &amp; Panizzolo 2023a</t>
  </si>
  <si>
    <t>Amrina &amp; Yusof 2011; Brown et al. 2014; Cagno et al. 2019; Cagno et al. 2023; Huang &amp; Badurdeen 2018; Mengistu &amp; Panizzolo 2021; Mengistu &amp; Panizzolo 2023a; Mengistu &amp; Panizzolo 2023b; Winroth et al. 2016</t>
  </si>
  <si>
    <t>Amrina &amp; Yusof 2011; Mengistu &amp; Panizzolo 2021; Mengistu &amp; Panizzolo 2023a; Mengistu &amp; Panizzolo 2023b; Winroth et al. 2016</t>
  </si>
  <si>
    <t>Mengistu &amp; Panizzolo 2023b</t>
  </si>
  <si>
    <t>Singh et al. 2007a</t>
  </si>
  <si>
    <t>Lee et al. 2014; Singh et al. 2007a; OECD</t>
  </si>
  <si>
    <t>Chung et al. 2016; Madanchi et al. 2019; Singh et al. 2007a</t>
  </si>
  <si>
    <t>Dočekalová &amp; Kocmanová 2016; Singh et al. 2007a</t>
  </si>
  <si>
    <t>Kocmanová et al. 2015; Singh et al. 2007a; ISO14031</t>
  </si>
  <si>
    <t>Cagno et al. 2019; Singh et al. 2007a</t>
  </si>
  <si>
    <t>Faulkner &amp; Badurdeen 2014; Singh et al. 2007a</t>
  </si>
  <si>
    <t>Gani et al. 2021; Kravchenko et al. 2019; Singh et al. 2007b</t>
  </si>
  <si>
    <t>Herva et al. 2008; Singh et al. 2007b</t>
  </si>
  <si>
    <t>Kravchenko et al. 2019; Singh et al. 2007b</t>
  </si>
  <si>
    <t>Singh et al. 2007b</t>
  </si>
  <si>
    <t>Bao &amp; Bodapati 2012; Eastwood &amp; Haapala 2015; Kravchenko et al. 2019; Singh et al. 2007b; ISO14031</t>
  </si>
  <si>
    <t>Faulkner &amp; Badurdeen 2014; Kravchenko et al. 2019; Singh et al. 2007b</t>
  </si>
  <si>
    <t>Level: Company; Factory; Production line; Work cell; Process</t>
  </si>
  <si>
    <t>Size: not specified; micro; small; medium; large</t>
  </si>
  <si>
    <t>Process types: not specified; Original forming; Transforming; Separating; Joining; Coating and finishing; Change of material properties</t>
  </si>
  <si>
    <t>Industry: not specified; 13 Manufacture of textiles; 14 Manufacture of wearing apparel; 15 Manufacture of leather and related products; 22 Manufacture of rubber and plastic products; 23 Manufacture of other non-metallic mineral products; 24 Manufacture of basic metals; 25 Manufacture of fabricated metal products, except machinery and equipment; 26 Manufacture of computer, electronic and optical products; 27 Manufacture of electrical equipment; 28 Manufacture of machinery and equipment n.e.c.; 29 Manufacture of motor vehicles, trailers and semi-trailers; 30 Manufacture of other transport equipment; 31 Manufacture of furniture; 32 Other manufacturing</t>
  </si>
  <si>
    <t>Category</t>
  </si>
  <si>
    <t>Indicator details</t>
  </si>
  <si>
    <t>Brown et al. 2014; Eastwood &amp; Haapala 2015</t>
  </si>
  <si>
    <t xml:space="preserve">Possible choices for each criterion: </t>
  </si>
  <si>
    <t>Capital cost</t>
  </si>
  <si>
    <t>This indicator measures the direct economic value generated and distributed, which consists of revenues, operating costs, salaries and employee benefits, payments to suppliers of capital, payments to governments, and community investments.</t>
  </si>
  <si>
    <t>This indicator measures the percentage of the procurement budget used for significant locations of operation that is spent on suppliers local to that operation (such as percentage of products and services purchased locally).</t>
  </si>
  <si>
    <t>Proportion of spending on local suppliers</t>
  </si>
  <si>
    <t>Reduction of energy consumption</t>
  </si>
  <si>
    <t>This indicator measures the reduction of energy consumption, i.e., energy savings achieved through implemented initiatives.</t>
  </si>
  <si>
    <t>Cost</t>
  </si>
  <si>
    <t>Subdimension</t>
  </si>
  <si>
    <t>Pollution</t>
  </si>
  <si>
    <t>Biodiversity &amp; Ecosystems</t>
  </si>
  <si>
    <t>Other</t>
  </si>
  <si>
    <t>This indicator measures the total weight or volume of materials consumed. It includes all raw materials and processed materials.</t>
  </si>
  <si>
    <t>This indicator measures the amount of energy from renewable sources used to the total energy used.</t>
  </si>
  <si>
    <t>This indicator measures the operating costs. It includes direct labor costs, management costs, direct material costs, and depreciation costs.</t>
  </si>
  <si>
    <t>This indicator measures the throughput, i.e., the number of units produced per time unit, e.g,. hour.</t>
  </si>
  <si>
    <t>This indicator measures the total number of products that meet customer/ specification requirements.</t>
  </si>
  <si>
    <t>This indicator measures the fines for non-compliance with environmental laws and regulations.</t>
  </si>
  <si>
    <t>This indicator measures the cost of materials associated with the packaging of a product.</t>
  </si>
  <si>
    <t>This indicator relates to the overall compliance with laws and regulations, particularly environmental compliance. (yes / no, or description of any incidents)</t>
  </si>
  <si>
    <t>This indicator measures the unit costs as the ratio of total fixed and total variable costs to the total units produced.</t>
  </si>
  <si>
    <t>This indicator measures the costs associated with EHS compliance. It includes, e.g., worker compensation or costs for waste disposal.</t>
  </si>
  <si>
    <t>This indicator measures the number of notices for environmental non-compliance, e.g., for emissions generated.</t>
  </si>
  <si>
    <t>This indicator measures the percentage of products designed for disassembly, reuse, or recycling.</t>
  </si>
  <si>
    <t>This indicator measures the amount of scrap and material removed to the total material used.</t>
  </si>
  <si>
    <t>This indicator measures the consumption volume of water per type to the total consumption volume. In this context, type of water means the origin (source) of the used water, if it is superficial, underground, reused…</t>
  </si>
  <si>
    <t>This indicator measures the energy consumption from biomass.</t>
  </si>
  <si>
    <t>This indicator measures the total weight of metals and minerals consumed.</t>
  </si>
  <si>
    <t>This indicator measures the total number of orders delivered on time to the total number of orders.</t>
  </si>
  <si>
    <t>This indicator measures the total toxic emissions, including emissions of heavy metals, dioxins, crystalline silica, and others.</t>
  </si>
  <si>
    <t>This indicator measures the load mass of pollutants in water, such as phosphorus, nitrogen, and lead.</t>
  </si>
  <si>
    <t>This indicator measures the amount of waste directed to landfill.</t>
  </si>
  <si>
    <t>This indicator measures the number of defective products to the number of manufactured products.</t>
  </si>
  <si>
    <t>This indicator measures the quantity of any form of energy (heat, vibration, etc.) that is emitted by the organization to air and/ or water.</t>
  </si>
  <si>
    <t>This indicator measures the cost of employee education and training.</t>
  </si>
  <si>
    <t>This indicator measures the costs of tools.</t>
  </si>
  <si>
    <t>This indicator measures the total energy consumption from non-renewable sources, e.g., gas, petroleum, electricity, coal, or other non-renewable resources.</t>
  </si>
  <si>
    <t>This indicator measures the costs associated with purchasing water.</t>
  </si>
  <si>
    <t>This indicator measures the cost of equipment, including personal protective equipment, jigs, and fixtures.</t>
  </si>
  <si>
    <t>This indicator measures the takt cost, which can be calculated as the ratio of the sum of operation costs to a reference value for the overall equipment efficiency (85%). It can also be determined by market analysis (target cost).</t>
  </si>
  <si>
    <t>This indicator measures the debt-asset ratio.</t>
  </si>
  <si>
    <t>Debt-asset ratio</t>
  </si>
  <si>
    <t>This indicator measures the amount of investment in community development (infrastructure and services), e.g., in schools or hospitals.</t>
  </si>
  <si>
    <t>This indicator quantifies the waste generated in the manufacturing process controlled by permits.</t>
  </si>
  <si>
    <t>This indicator measures the quantity of treated wastewater (before being released) to the total quantity of wastewater.</t>
  </si>
  <si>
    <t>This indicator measures employee productivity, which can be calculated as the ratio of value added to the number of employees.</t>
  </si>
  <si>
    <t>This indicator measures the weight or volume of all auxiliary materials recycled or reused in production.</t>
  </si>
  <si>
    <t>This indicator measures the total weight or volume of consumed processed, recycled, or reused material.</t>
  </si>
  <si>
    <t>This indicator measures the ratio of the distance from the closest supplier to the distance from the furthest supplier.</t>
  </si>
  <si>
    <t xml:space="preserve">This indicator measures the amount of primary energy used. It can include a breakdown by type (including natural gas, diesel, LPG, petrol, and other fuels). </t>
  </si>
  <si>
    <t>This indicator measures the total energy consumption not used for manufacturing.</t>
  </si>
  <si>
    <t>This indicator measures the rework costs. Rework costs are determined from the point of time where rework is identified to the time when rework is completed and the activity has returned to the condition or state it was in originally.</t>
  </si>
  <si>
    <t>This indicator measures the level of economic sustainability, which can be calculated as the ratio of takt cost to the sum of efficient cost.</t>
  </si>
  <si>
    <t>This indicator measures the percentage of products with take-back policies in place.</t>
  </si>
  <si>
    <t xml:space="preserve">Fuel saved from implemented initiatives </t>
  </si>
  <si>
    <t>This indicator measures the ratio of time spent on total productive maintenance to time spent on breakdown maintenance.</t>
  </si>
  <si>
    <t>This indicator queries the use of an environmental risk assessment. (yes/ no, which type)</t>
  </si>
  <si>
    <t>This indicator queries if any environmental certifications, e.g., ISO 9001, ISO 140001, OHSAS 18001, have been achieved.</t>
  </si>
  <si>
    <t>This indicator measures the sum of investments in energy efficiency.</t>
  </si>
  <si>
    <t>This indicator measures the total number of sustainability initiatives implemented. It includes initiatives to enhance environmental performance, accountability, and equity.</t>
  </si>
  <si>
    <t>This indicator measures revenue growth.</t>
  </si>
  <si>
    <t>This indicator measures the fixed assets, such as facilities and equipment.</t>
  </si>
  <si>
    <t>This indicator queries whether the organization discloses its environmental policies. (yes/ no, which type)</t>
  </si>
  <si>
    <t>Ethics/ philanthropy investment</t>
  </si>
  <si>
    <t>This indicator measures the total investment regarding ethics and philanthropy.</t>
  </si>
  <si>
    <t>This indicator measures the net solid waste generated. It can be calculated by the following formula: (solid waste generated - (solid waste recycled + solid waste reused + biodegradable solid waste)) / solid waste generated.</t>
  </si>
  <si>
    <t>This indicator measures the total greenhouse gas emissions associated with manufacturing activities (Scope 1). It includes emissions from fuel consumption, generation of electricity, heating-, cooling- and steam energy; chemical processes; and transportation of materials.</t>
  </si>
  <si>
    <t>This indicator measures indirect greenhouse gas emissions (Scope 2). It includes the CO2 emissions from the generation of purchased or acquired energy, such as electricity, heating, cooling, and steam consumed by suppliers.</t>
  </si>
  <si>
    <t>This indicator measures the total CO2 emissions (CO2, CH4, N2O, HFCs, PFCs, SF6 tons of CO2 equivalent) from energy use during manufacturing.</t>
  </si>
  <si>
    <t>This indicator measures the percentage of suppliers without EHS violations to all suppliers.</t>
  </si>
  <si>
    <t>This indicator measures employee benefits, including health, pension, and other benefits and redundancy packages. It can be measured as the total sum or as a percentage of total employment costs.</t>
  </si>
  <si>
    <t>This indicator measures the total weight or volume of recyclable raw material used to total raw material used.</t>
  </si>
  <si>
    <t>This indicator measures the post-use packaging mass/ volume received from consumers/ buyers of a product. Packaging later can be reprocessed on-site.</t>
  </si>
  <si>
    <t>Take back packaging from post-use</t>
  </si>
  <si>
    <t>This indicator measures the total cost of energy to the total production output.</t>
  </si>
  <si>
    <t>This indicator measures the costs associated with purchasing water per production output.</t>
  </si>
  <si>
    <t>This indicator measures the cost of water to the total production costs.</t>
  </si>
  <si>
    <t>This indicator measures the nature-oriented area on site. A ‘nature-oriented' or green area is an area that primarily preserves or restores nature. Near natural/ green areas may be located on the organization’s site and may include roofs, facades, water drainage systems, or other features designed, adapted, or managed to promote biodiversity.</t>
  </si>
  <si>
    <t>This indicator measures the facility space used for production to the total facility space.</t>
  </si>
  <si>
    <t>This indicator measures the facility construction cost allocated to the parts processed over the facility's lifetime. In order to allocate the facility cost to each part processed over the facility's lifetime, the total facility cost is divided by the number of parts processed over the facility's lifetime.</t>
  </si>
  <si>
    <t>This indicator measures the expenses which are related to the operation of equipment. It includes costs such as the salaries of workers to operate the equipment, raw materials, power costs (fuel), consumables, maintenance, and repair. It can also include costs that are associated with ongoing digital platform development and maintenance.</t>
  </si>
  <si>
    <t>This indicator describes how signals and displays are easily accessible and understandable by the employees, which will improve their efficiency.</t>
  </si>
  <si>
    <t>This indicator measures the percentage of total pieces of equipment with parts designed for easy disassembly, recycling, and reuse.</t>
  </si>
  <si>
    <t>This indicator measures the number of emergency events (e.g., explosions) or non-routine operations (e.g., shutdowns).</t>
  </si>
  <si>
    <t>This indicator examines whether the processes were designed with safety, ergonomics, and the use of safe material in mind.</t>
  </si>
  <si>
    <t>This indicator measures the assembly design efficiency with the following formula: 3 x (Theoretical Minimum Number of Parts) / Actual Assembly Time
This measure shows how far the assembly efficiency is from the 100% in an ideal hypothetical design. The indicator compares a given design to a hypothetical design of the same product consisting of the theoretical minimum number of parts and where each part can be assembled with minimal effort.</t>
  </si>
  <si>
    <t>This indicator measures the number of parts that carry material identification labels in the product to facilitate collection and recycling.</t>
  </si>
  <si>
    <t>This indicator measures the sum of the painted, pigmented, or stained surfaces to the total surface of the product.</t>
  </si>
  <si>
    <t>Painted, Stained, or Pigmented Surfaces</t>
  </si>
  <si>
    <t>This indicator measures the number of products that can be reused or recycled.</t>
  </si>
  <si>
    <t>Products that can be reused or recycled</t>
  </si>
  <si>
    <t>This indicator measures the percentage of products with an environmental label.</t>
  </si>
  <si>
    <t>This indicator measures the mass of packaging used per packaging level (sub-retail, retail, merchandising, traded and pallet).</t>
  </si>
  <si>
    <t>This indicator queries if lean and quality control techniques are used to minimize waste (yes/ no).</t>
  </si>
  <si>
    <t>This indicator queries if the 6R principles (reduce, reuse, recycle, recover, redesign, and remanufacture the products over multiple life cycles) are used.</t>
  </si>
  <si>
    <t>This indicator measures the total number of initiatives implemented for natural habitat conservation.</t>
  </si>
  <si>
    <t>This indicator measures the number of green technology development projects.</t>
  </si>
  <si>
    <t>This indicator measures the number of employees receiving hazardous material training.</t>
  </si>
  <si>
    <t>This indicator measures capital expenditures, which include depreciation/ annualized investment costs for production assets, costs for major asset enhancements and replacements during lifetime, asset retirement costs, facilities capital costs, and miscellaneous ownership costs.</t>
  </si>
  <si>
    <t>This indicator measures the direct operating expenses. It includes material and component cost, production personnel labor cost, energy cost, cost of other consumables, cost of scheduled maintenance, and cost of corrective maintenance.</t>
  </si>
  <si>
    <t>This indicator measures the indirect operating expenses. It includes internal quality cost, inventory cost, external quality cost, and cost of human errors.</t>
  </si>
  <si>
    <t>This indicator measures the gross profit margin, which can be calculated as the ratio of gross margin to revenue.</t>
  </si>
  <si>
    <t>This indicator measures the ratio of total liabilities to shareholders' funds.</t>
  </si>
  <si>
    <t>Total liabilities to shareholders' funds</t>
  </si>
  <si>
    <t>(Shareholders' funds + Non-current liabilities) / Total assets</t>
  </si>
  <si>
    <t>This indicator measures the ratio of shareholders' funds and non-current liabilities to total assets.</t>
  </si>
  <si>
    <t>(EAT + Interest paid) / (Non-current liabilities + Shareholders' funds)</t>
  </si>
  <si>
    <t>This indicator measures the ratio of EAT and interest paid to shareholders' funds and non-current liabilities.</t>
  </si>
  <si>
    <t>This indicator measures the total number of products that do not meet customer/ specification requirements.</t>
  </si>
  <si>
    <t>This indicator measures the total volume of non-polluted liquid effluents produced by the company (that have non-hazardous pollutants or are treated before being released into the environment).</t>
  </si>
  <si>
    <t>This indicator measures the number of courses, conferences, and workshops attended by employees.</t>
  </si>
  <si>
    <t>This indicator measures labor efficiency, which can be defined as the share of the total planned time that is spent on value-adding or supporting tasks (as defined by a standard operating procedure).</t>
  </si>
  <si>
    <t>Investments in resilience to environmental hazards and resource scarcity</t>
  </si>
  <si>
    <t>Category &amp; Subcategory</t>
  </si>
  <si>
    <t>Dimension &amp; Subdimension</t>
  </si>
  <si>
    <t>Dimension</t>
  </si>
  <si>
    <t>Subdimension - Economic</t>
  </si>
  <si>
    <t>Subdimension - Environmental</t>
  </si>
  <si>
    <t>Resource Use &amp; Circular Economy</t>
  </si>
  <si>
    <t>Water &amp; Marine Resources</t>
  </si>
  <si>
    <t>Climate Change</t>
  </si>
  <si>
    <t>Dimensions</t>
  </si>
  <si>
    <t>Economic Subdimensions</t>
  </si>
  <si>
    <t>Environmental Subdimensions</t>
  </si>
  <si>
    <t>Categories</t>
  </si>
  <si>
    <t>Subcategories</t>
  </si>
  <si>
    <t>This indicator measures the ratio of total (useful) product output to material input.</t>
  </si>
  <si>
    <t>Select</t>
  </si>
  <si>
    <t>Selection</t>
  </si>
  <si>
    <t>Subdimensions</t>
  </si>
  <si>
    <t>Comments</t>
  </si>
  <si>
    <t>Count of References</t>
  </si>
  <si>
    <t>Measurement Type</t>
  </si>
  <si>
    <t>Pinto et al. 2020; Song &amp; Moon 2019; Zarte et al. 2019</t>
  </si>
  <si>
    <t xml:space="preserve">This indicator measures the air emissions. These can be measured in total or by type. </t>
  </si>
  <si>
    <t>This indicator measures the total greenhouse gas emissions. These can be measured in total or by type (CO2, CH4, N2O, HFCs, PFCs, SF6 in tons of CO2 equivalent).</t>
  </si>
  <si>
    <t>Energy intensity</t>
  </si>
  <si>
    <t>J/NF</t>
  </si>
  <si>
    <t>L/NF</t>
  </si>
  <si>
    <t>This indicator measures the ratio of total energy consumption to a normalization factor (NF). The NF can, e.g., be the number of units produced.</t>
  </si>
  <si>
    <t>Water intensity</t>
  </si>
  <si>
    <t>This indicator measures the ratio of total waste to a normalization factor (NF). The NF can, e.g., be the number of units produced.</t>
  </si>
  <si>
    <t>kg/NF</t>
  </si>
  <si>
    <t>Material intensity</t>
  </si>
  <si>
    <t>This indicator measures the ratio of the mass of material input to a normalization factor (NF). The NF can, e.g., be the number of units produced.</t>
  </si>
  <si>
    <t>This indicator measures the ratio of total greenhouse gas emissions to a normalization factor (NF). The NF can, e.g., be the number of units produced.</t>
  </si>
  <si>
    <t>CO2-eq/NF</t>
  </si>
  <si>
    <t>Emissions of greenhouse gases intensity</t>
  </si>
  <si>
    <t>This indicator measures the ratio of the mass of raw material input to a normalization factor (NF). The NF can, e.g., be the number of units produced.</t>
  </si>
  <si>
    <t>Raw material intensity</t>
  </si>
  <si>
    <t>Waste intensity</t>
  </si>
  <si>
    <t>This indicator measures the ratio of the mass of wastewater discharged to a normalization factor (NF). The NF can, e.g., be the number of units produced.</t>
  </si>
  <si>
    <t>Wastewater intensity</t>
  </si>
  <si>
    <t>Packaging material intensity</t>
  </si>
  <si>
    <t>This indicator measures the ratio of the total air emissions to a normalization factor (NF). The NF can, e.g., be the number of units produced.</t>
  </si>
  <si>
    <t>Air emissions intensity</t>
  </si>
  <si>
    <t>This indicator measures the ratio of the mass of non-renewable material input to a normalization factor (NF). The NF can, e.g., be the number of units produced.</t>
  </si>
  <si>
    <t>Solid waste intensity</t>
  </si>
  <si>
    <t>This indicator measures the ratio of the mass of solid waste to a normalization factor (NF). The NF can, e.g., be the number of units produced.</t>
  </si>
  <si>
    <t>This indicator measures the ratio of the mass of water discharged to a normalization factor (NF). The NF can, e.g., be the number of units produced.</t>
  </si>
  <si>
    <t>This indicator measures the ratio of the total energy consumption from renewable sources to a normalization factor (NF). The NF can, e.g., be the number of units produced.</t>
  </si>
  <si>
    <t>kg/amount of time</t>
  </si>
  <si>
    <t>Barni et al. 2022; Eastwood &amp; Haapala 2015; Fan et al. 2010; Li et al. 2012; Garza-Reyes et al. 2018; Moldavska &amp; Welo 2018; Zarte et al. 2019</t>
  </si>
  <si>
    <t>Unit of Measure</t>
  </si>
  <si>
    <t>This indicator measures the total waste. It can be measured as total or by type.</t>
  </si>
  <si>
    <t>This indicator measures the cost of all input materials.</t>
  </si>
  <si>
    <t>This indicator measures the volume of water discharged. It can be measured in total or by quality and destination.</t>
  </si>
  <si>
    <t># and L</t>
  </si>
  <si>
    <t>This indicator measures the emissions of ozone-depleting substances.  It can be measured as total or by type.</t>
  </si>
  <si>
    <t>This indicator measures the emissions of acid gases (NOx, SO2, and other).  It can be measured as total or by type.</t>
  </si>
  <si>
    <t>This indicator measures the total water withdrawal from all areas. It can be measured as a total and as a breakdown by sources.</t>
  </si>
  <si>
    <t>Amount of recycled scrap</t>
  </si>
  <si>
    <t>€/#</t>
  </si>
  <si>
    <t>kg/UOP</t>
  </si>
  <si>
    <t>This indicator measures (vehicle) fuel savings achieved through implemented initiatives. (It can also be measured as the ratio of fuel savings to initial fuel required.)</t>
  </si>
  <si>
    <t>This indicator measures the mass of material savings achieved through implemented initiatives. (It can also be measured as the ratio of material savings to initial material required.)</t>
  </si>
  <si>
    <t>This indicator measures costs associated with the health protection of employees (e.g., protection clothes, supplementary work equipment).</t>
  </si>
  <si>
    <t># and descriptive</t>
  </si>
  <si>
    <t>€ or %</t>
  </si>
  <si>
    <t>This indicator queries the implementation of green manufacturing concepts like design for environment (DFE), life-cycle assessment (LCA), quality function deployment for environment (QFDE), smart factories, cloud-based technologies, recycled products for raw materials, reducing waste while transporting, and green supply chain.</t>
  </si>
  <si>
    <t>This indicator measures the liquid waste. It can also be broken down by type.</t>
  </si>
  <si>
    <t>L/UOP</t>
  </si>
  <si>
    <t xml:space="preserve">This indicator measures the total weight of waste diverted from disposal. It can also be measured as a breakdown of this total by the composition of the waste.
</t>
  </si>
  <si>
    <t xml:space="preserve">This indicator measures the total weight or volume of virgin materials consumed to all materials consumed. </t>
  </si>
  <si>
    <t>€/UOP</t>
  </si>
  <si>
    <t>This indicator measures the mass of pollutants, such as Phosphorus, Nitrogen, Lead, etc, in relation to the total liquid waste volume.</t>
  </si>
  <si>
    <t>This indicator measures the total amount of heavy metal emissions to water. Heavy metals are arsenic, cadmium, chromium, lead, and mercury, they affect human health as they can induce multiple organ damage.</t>
  </si>
  <si>
    <t>Emissions of heavy metals to water</t>
  </si>
  <si>
    <t>g</t>
  </si>
  <si>
    <t>This indicator measures the sum of investments in resilience to environmental hazards and resource scarcity. (It can also be measured as a percentage of all investments.)</t>
  </si>
  <si>
    <t>This indicator measures the number of chemicals used.</t>
  </si>
  <si>
    <t>Number of chemicals</t>
  </si>
  <si>
    <t>This indicator measures the total weight of refractory consumed per production output.</t>
  </si>
  <si>
    <t>This indicator measures the total weight of refrigerant consumed per production output.</t>
  </si>
  <si>
    <t>unit of time</t>
  </si>
  <si>
    <t>#/unit of time</t>
  </si>
  <si>
    <t>This indicator measures the metal emissions per production output.</t>
  </si>
  <si>
    <t>This indicator measures the total volume of polystyrene foam consumed to all materials consumed.</t>
  </si>
  <si>
    <t>This indicator measures the ratio of the total weight or volume of recycled materials consumed per production unit.</t>
  </si>
  <si>
    <t>unit of mass/UOP</t>
  </si>
  <si>
    <t>unit of volume/UOP</t>
  </si>
  <si>
    <t>CO2-eq/UOP</t>
  </si>
  <si>
    <t>g/m³</t>
  </si>
  <si>
    <t>Gani et al. 2021; Zarte et al. 2019</t>
  </si>
  <si>
    <t>Transforming; Separating; Joining; Coating and finishing; not specified</t>
  </si>
  <si>
    <t>Original forming; Joining; Coating and finishing; Change of material properties; not specified</t>
  </si>
  <si>
    <t>22 Manufacture of rubber and plastic products; 25 Manufacture of fabricated metal products, except machinery and equipment; 26 Manufacture of computer, electronic and optical products; not specified</t>
  </si>
  <si>
    <t>Original forming; Separating; Joining; Coating and finishing; Change of material properties; not specified</t>
  </si>
  <si>
    <t>Original forming; Transforming; Separating; Coating and finishing; Change of material properties; not specified</t>
  </si>
  <si>
    <t>23 Manufacture of other non-metallic mineral products; 25 Manufacture of fabricated metal products, except machinery and equipment; 26 Manufacture of computer, electronic and optical products; 27 Manufacture of electrical equipment; 29 Manufacture of motor vehicles, trailers and semi-trailers; 31 Manufacture of furniture; not specified</t>
  </si>
  <si>
    <t>Original forming; Transforming; Separating; Joining; Coating and finishing; Change of material properties; not specified</t>
  </si>
  <si>
    <t>25 Manufacture of fabricated metal products, except machinery and equipment; 26 Manufacture of computer, electronic and optical products; not specified</t>
  </si>
  <si>
    <t>27 Manufacture of electrical equipment; 28 Manufacture of machinery and equipment n.e.c.; 29 Manufacture of motor vehicles, trailers and semi-trailers; not specified</t>
  </si>
  <si>
    <t>Transforming; Separating; Coating and finishing; Change of material properties; not specified</t>
  </si>
  <si>
    <t>13 Manufacture of textiles; 28 Manufacture of machinery and equipment n.e.c.; 31 Manufacture of furniture; not specified</t>
  </si>
  <si>
    <t>26 Manufacture of computer, electronic and optical products; not specified</t>
  </si>
  <si>
    <t>13 Manufacture of textiles; 25 Manufacture of fabricated metal products, except machinery and equipment; 26 Manufacture of computer, electronic and optical products; 28 Manufacture of machinery and equipment n.e.c.; 29 Manufacture of motor vehicles, trailers and semi-trailers; 31 Manufacture of furniture; not specified</t>
  </si>
  <si>
    <t>13 Manufacture of textiles; 28 Manufacture of machinery and equipment n.e.c.; 29 Manufacture of motor vehicles, trailers and semi-trailers; 31 Manufacture of furniture; not specified</t>
  </si>
  <si>
    <t>Separating; not specified</t>
  </si>
  <si>
    <t>25 Manufacture of fabricated metal products, except machinery and equipment; not specified</t>
  </si>
  <si>
    <t>26 Manufacture of computer, electronic and optical products; 29 Manufacture of motor vehicles, trailers and semi-trailers; not specified</t>
  </si>
  <si>
    <t>Original forming; Transforming; Joining; Coating and finishing; Change of material properties; not specified</t>
  </si>
  <si>
    <t>13 Manufacture of textiles; 26 Manufacture of computer, electronic and optical products; 28 Manufacture of machinery and equipment n.e.c.; 31 Manufacture of furniture; not specified</t>
  </si>
  <si>
    <t>Original forming; Separating; Change of material properties; not specified</t>
  </si>
  <si>
    <t>29 Manufacture of motor vehicles, trailers and semi-trailers; 30 Manufacture of other transport equipment; not specified</t>
  </si>
  <si>
    <t>Joining; not specified</t>
  </si>
  <si>
    <t>13 Manufacture of textiles; 22 Manufacture of rubber and plastic products; 28 Manufacture of machinery and equipment n.e.c.; 31 Manufacture of furniture; not specified</t>
  </si>
  <si>
    <t>Original forming; Transforming; Separating; Coating and finishing; not specified</t>
  </si>
  <si>
    <t>13 Manufacture of textiles; 27 Manufacture of electrical equipment; 28 Manufacture of machinery and equipment n.e.c.; 29 Manufacture of motor vehicles, trailers and semi-trailers; 31 Manufacture of furniture; not specified</t>
  </si>
  <si>
    <t>13 Manufacture of textiles; 26 Manufacture of computer, electronic and optical products; 27 Manufacture of electrical equipment; 28 Manufacture of machinery and equipment n.e.c.; 31 Manufacture of furniture; not specified</t>
  </si>
  <si>
    <t>28 Manufacture of machinery and equipment n.e.c.; 29 Manufacture of motor vehicles, trailers and semi-trailers; not specified</t>
  </si>
  <si>
    <t>29 Manufacture of motor vehicles, trailers and semi-trailers; not specified</t>
  </si>
  <si>
    <t>Original forming; Separating; Change of material properties</t>
  </si>
  <si>
    <t>22 Manufacture of rubber and plastic products; 28 Manufacture of machinery and equipment n.e.c.; 29 Manufacture of motor vehicles, trailers and semi-trailers; not specified</t>
  </si>
  <si>
    <t>30 Manufacture of other transport equipment; not specified</t>
  </si>
  <si>
    <t>13 Manufacture of textiles; 24 Manufacture of basic metals; 25 Manufacture of fabricated metal products, except machinery and equipment; 26 Manufacture of computer, electronic and optical products; 27 Manufacture of electrical equipment; 28 Manufacture of machinery and equipment n.e.c.; 29 Manufacture of motor vehicles, trailers and semi-trailers; 31 Manufacture of furniture; 32 Other manufacturing; not specified</t>
  </si>
  <si>
    <t>13 Manufacture of textiles; 15 Manufacture of leather and related products; 25 Manufacture of fabricated metal products, except machinery and equipment; 26 Manufacture of computer, electronic and optical products; 28 Manufacture of machinery and equipment n.e.c.; 30 Manufacture of other transport equipment; 31 Manufacture of furniture; not specified</t>
  </si>
  <si>
    <t>Original forming; Transforming; Separating; Joining; Coating and finishing; not specified</t>
  </si>
  <si>
    <t>13 Manufacture of textiles; 25 Manufacture of fabricated metal products, except machinery and equipment; 26 Manufacture of computer, electronic and optical products; 27 Manufacture of electrical equipment; 28 Manufacture of machinery and equipment n.e.c.; 29 Manufacture of motor vehicles, trailers and semi-trailers; 31 Manufacture of furniture; 32 Other manufacturing; not specified</t>
  </si>
  <si>
    <t>22 Manufacture of rubber and plastic products; not specified</t>
  </si>
  <si>
    <t>Original forming; Transforming; Separating; Coating and finishing; Change of material properties</t>
  </si>
  <si>
    <t>13 Manufacture of textiles; 22 Manufacture of rubber and plastic products; 24 Manufacture of basic metals; 25 Manufacture of fabricated metal products, except machinery and equipment; 26 Manufacture of computer, electronic and optical products; 27 Manufacture of electrical equipment; 28 Manufacture of machinery and equipment n.e.c.; 29 Manufacture of motor vehicles, trailers and semi-trailers; 31 Manufacture of furniture; 32 Other manufacturing; not specified</t>
  </si>
  <si>
    <t>24 Manufacture of basic metals; 29 Manufacture of motor vehicles, trailers and semi-trailers; not specified</t>
  </si>
  <si>
    <t>Transforming; Joining; not specified</t>
  </si>
  <si>
    <t>25 Manufacture of fabricated metal products, except machinery and equipment; 28 Manufacture of machinery and equipment n.e.c.; 29 Manufacture of motor vehicles, trailers and semi-trailers; not specified</t>
  </si>
  <si>
    <t>13 Manufacture of textiles; 15 Manufacture of leather and related products; 23 Manufacture of other non-metallic mineral products; 24 Manufacture of basic metals; 25 Manufacture of fabricated metal products, except machinery and equipment; 26 Manufacture of computer, electronic and optical products; 27 Manufacture of electrical equipment; 28 Manufacture of machinery and equipment n.e.c.; 29 Manufacture of motor vehicles, trailers and semi-trailers; 31 Manufacture of furniture; not specified</t>
  </si>
  <si>
    <t>25 Manufacture of fabricated metal products, except machinery and equipment; 26 Manufacture of computer, electronic and optical products; 29 Manufacture of motor vehicles, trailers and semi-trailers; not specified</t>
  </si>
  <si>
    <t>Separating; Coating and finishing; not specified</t>
  </si>
  <si>
    <t>25 Manufacture of fabricated metal products, except machinery and equipment; 26 Manufacture of computer, electronic and optical products; 28 Manufacture of machinery and equipment n.e.c.; 29 Manufacture of motor vehicles, trailers and semi-trailers; not specified</t>
  </si>
  <si>
    <t>Original forming; not specified</t>
  </si>
  <si>
    <t>13 Manufacture of textiles; 22 Manufacture of rubber and plastic products; 24 Manufacture of basic metals; 25 Manufacture of fabricated metal products, except machinery and equipment; 26 Manufacture of computer, electronic and optical products; 27 Manufacture of electrical equipment; 28 Manufacture of machinery and equipment n.e.c.; not specified</t>
  </si>
  <si>
    <t>13 Manufacture of textiles; 27 Manufacture of electrical equipment; not specified</t>
  </si>
  <si>
    <t>13 Manufacture of textiles; 23 Manufacture of other non-metallic mineral products; 24 Manufacture of basic metals; 25 Manufacture of fabricated metal products, except machinery and equipment; 26 Manufacture of computer, electronic and optical products; 27 Manufacture of electrical equipment; 28 Manufacture of machinery and equipment n.e.c.; 29 Manufacture of motor vehicles, trailers and semi-trailers; 30 Manufacture of other transport equipment; 31 Manufacture of furniture; 32 Other manufacturing; not specified</t>
  </si>
  <si>
    <t>Original forming</t>
  </si>
  <si>
    <t>29 Manufacture of motor vehicles, trailers and semi-trailers; 31 Manufacture of furniture; not specified</t>
  </si>
  <si>
    <t>Separating; Joining; Coating and finishing; not specified</t>
  </si>
  <si>
    <t>26 Manufacture of computer, electronic and optical products; 27 Manufacture of electrical equipment; not specified</t>
  </si>
  <si>
    <t>27 Manufacture of electrical equipment; 29 Manufacture of motor vehicles, trailers and semi-trailers; not specified</t>
  </si>
  <si>
    <t>Original forming; Transforming; Separating; Joining; Change of material properties; not specified</t>
  </si>
  <si>
    <t>28 Manufacture of machinery and equipment n.e.c.; 29 Manufacture of motor vehicles, trailers and semi-trailers; 30 Manufacture of other transport equipment</t>
  </si>
  <si>
    <t>27 Manufacture of electrical equipment; not specified</t>
  </si>
  <si>
    <t>13 Manufacture of textiles; 22 Manufacture of rubber and plastic products; 24 Manufacture of basic metals; 25 Manufacture of fabricated metal products, except machinery and equipment; 26 Manufacture of computer, electronic and optical products; 27 Manufacture of electrical equipment; 28 Manufacture of machinery and equipment n.e.c.; 29 Manufacture of motor vehicles, trailers and semi-trailers; 30 Manufacture of other transport equipment</t>
  </si>
  <si>
    <t>Separating; Change of material properties; not specified</t>
  </si>
  <si>
    <t>24 Manufacture of basic metals; 28 Manufacture of machinery and equipment n.e.c.; 29 Manufacture of motor vehicles, trailers and semi-trailers; 30 Manufacture of other transport equipment</t>
  </si>
  <si>
    <t>24 Manufacture of basic metals; 27 Manufacture of electrical equipment; 28 Manufacture of machinery and equipment n.e.c.; 29 Manufacture of motor vehicles, trailers and semi-trailers; 30 Manufacture of other transport equipment</t>
  </si>
  <si>
    <t>25 Manufacture of fabricated metal products, except machinery and equipment; 27 Manufacture of electrical equipment; 28 Manufacture of machinery and equipment n.e.c.; 29 Manufacture of motor vehicles, trailers and semi-trailers; 30 Manufacture of other transport equipment</t>
  </si>
  <si>
    <t>22 Manufacture of rubber and plastic products; 26 Manufacture of computer, electronic and optical products; 27 Manufacture of electrical equipment; 28 Manufacture of machinery and equipment n.e.c.; 29 Manufacture of motor vehicles, trailers and semi-trailers; 30 Manufacture of other transport equipment; not specified</t>
  </si>
  <si>
    <t>Original forming; Transforming; Separating; Coating and finishing</t>
  </si>
  <si>
    <t>25 Manufacture of fabricated metal products, except machinery and equipment; 27 Manufacture of electrical equipment; 29 Manufacture of motor vehicles, trailers and semi-trailers; not specified</t>
  </si>
  <si>
    <t>13 Manufacture of textiles; 25 Manufacture of fabricated metal products, except machinery and equipment; 26 Manufacture of computer, electronic and optical products; 28 Manufacture of machinery and equipment n.e.c.; 31 Manufacture of furniture; not specified</t>
  </si>
  <si>
    <t>13 Manufacture of textiles; 26 Manufacture of computer, electronic and optical products; 28 Manufacture of machinery and equipment n.e.c.; 29 Manufacture of motor vehicles, trailers and semi-trailers; 30 Manufacture of other transport equipment; 31 Manufacture of furniture; not specified</t>
  </si>
  <si>
    <t>22 Manufacture of rubber and plastic products; 26 Manufacture of computer, electronic and optical products; 28 Manufacture of machinery and equipment n.e.c.; 29 Manufacture of motor vehicles, trailers and semi-trailers; 30 Manufacture of other transport equipment; not specified</t>
  </si>
  <si>
    <t>Transforming; Separating; Joining; Coating and finishing; Change of material properties; not specified</t>
  </si>
  <si>
    <t>13 Manufacture of textiles; 24 Manufacture of basic metals; 29 Manufacture of motor vehicles, trailers and semi-trailers; not specified</t>
  </si>
  <si>
    <t>13 Manufacture of textiles; 22 Manufacture of rubber and plastic products; 24 Manufacture of basic metals; 25 Manufacture of fabricated metal products, except machinery and equipment; 26 Manufacture of computer, electronic and optical products; 27 Manufacture of electrical equipment; 28 Manufacture of machinery and equipment n.e.c.; 31 Manufacture of furniture; not specified</t>
  </si>
  <si>
    <t>Separating; Joining; Change of material properties; not specified</t>
  </si>
  <si>
    <t>15 Manufacture of leather and related products; 29 Manufacture of motor vehicles, trailers and semi-trailers; not specified</t>
  </si>
  <si>
    <t>31 Manufacture of furniture; not specified</t>
  </si>
  <si>
    <t>13 Manufacture of textiles; 22 Manufacture of rubber and plastic products; 24 Manufacture of basic metals; 25 Manufacture of fabricated metal products, except machinery and equipment; 26 Manufacture of computer, electronic and optical products; 27 Manufacture of electrical equipment; 28 Manufacture of machinery and equipment n.e.c.; 29 Manufacture of motor vehicles, trailers and semi-trailers; 30 Manufacture of other transport equipment; not specified</t>
  </si>
  <si>
    <t>Kravchenko et al. 2019; Tan et al. 2015; ISO14031</t>
  </si>
  <si>
    <t>Dočekalová &amp; Kocmanová 2016; Saxena et al. 2020; Tan et al. 2015</t>
  </si>
  <si>
    <t>Madanchi et al. 2019; Singh et al. 2007a; Tan et al. 2015</t>
  </si>
  <si>
    <t>Huang &amp; Badurdeen 2018; Tan et al. 2015; ISO14031</t>
  </si>
  <si>
    <t>Amrina &amp; Yusof 2011; Kravchenko et al. 2019; Tan et al. 2015; ISO14031</t>
  </si>
  <si>
    <t>Cagno et al. 2019; Dočekalová &amp; Kocmanová 2016; Eastwood &amp; Haapala 2015; Feil et al. 2017; Feil et al. 2019; Hartini et al. 2020; Helleno et al. 2017; Mengistu &amp; Panizzolo 2023a; Pinto et al. 2020; Swarnakar et al. 2020; Swarnakar et al. 2021; Swarnakar et al. 2022; Tan et al. 2015</t>
  </si>
  <si>
    <t>Labor</t>
  </si>
  <si>
    <t>11-001</t>
  </si>
  <si>
    <t>11-002</t>
  </si>
  <si>
    <t>11-003</t>
  </si>
  <si>
    <t>11-004</t>
  </si>
  <si>
    <t>11-005</t>
  </si>
  <si>
    <t>11-006</t>
  </si>
  <si>
    <t>11-007</t>
  </si>
  <si>
    <t>11-008</t>
  </si>
  <si>
    <t>11-009</t>
  </si>
  <si>
    <t>11-010</t>
  </si>
  <si>
    <t>11-011</t>
  </si>
  <si>
    <t>11-012</t>
  </si>
  <si>
    <t>11-013</t>
  </si>
  <si>
    <t>11-014</t>
  </si>
  <si>
    <t>11-015</t>
  </si>
  <si>
    <t>11-016</t>
  </si>
  <si>
    <t>11-017</t>
  </si>
  <si>
    <t>11-018</t>
  </si>
  <si>
    <t>11-019</t>
  </si>
  <si>
    <t>11-020</t>
  </si>
  <si>
    <t>11-021</t>
  </si>
  <si>
    <t>11-022</t>
  </si>
  <si>
    <t>11-023</t>
  </si>
  <si>
    <t>11-024</t>
  </si>
  <si>
    <t>11-025</t>
  </si>
  <si>
    <t>11-026</t>
  </si>
  <si>
    <t>11-027</t>
  </si>
  <si>
    <t>11-028</t>
  </si>
  <si>
    <t>11-029</t>
  </si>
  <si>
    <t>11-030</t>
  </si>
  <si>
    <t>11-031</t>
  </si>
  <si>
    <t>11-035</t>
  </si>
  <si>
    <t>11-036</t>
  </si>
  <si>
    <t>11-037</t>
  </si>
  <si>
    <t>11-038</t>
  </si>
  <si>
    <t>11-039</t>
  </si>
  <si>
    <t>11-040</t>
  </si>
  <si>
    <t>11-041</t>
  </si>
  <si>
    <t>11-042</t>
  </si>
  <si>
    <t>11-043</t>
  </si>
  <si>
    <t>11-044</t>
  </si>
  <si>
    <t>11-045</t>
  </si>
  <si>
    <t>11-046</t>
  </si>
  <si>
    <t>11-047</t>
  </si>
  <si>
    <t>11-048</t>
  </si>
  <si>
    <t>11-049</t>
  </si>
  <si>
    <t>11-050</t>
  </si>
  <si>
    <t>11-051</t>
  </si>
  <si>
    <t>11-052</t>
  </si>
  <si>
    <t>11-053</t>
  </si>
  <si>
    <t>11-054</t>
  </si>
  <si>
    <t>11-055</t>
  </si>
  <si>
    <t>11-056</t>
  </si>
  <si>
    <t>11-057</t>
  </si>
  <si>
    <t>11-058</t>
  </si>
  <si>
    <t>11-059</t>
  </si>
  <si>
    <t>11-060</t>
  </si>
  <si>
    <t>11-061</t>
  </si>
  <si>
    <t>11-062</t>
  </si>
  <si>
    <t>11-063</t>
  </si>
  <si>
    <t>11-064</t>
  </si>
  <si>
    <t>11-065</t>
  </si>
  <si>
    <t>11-066</t>
  </si>
  <si>
    <t>11-067</t>
  </si>
  <si>
    <t>11-068</t>
  </si>
  <si>
    <t>11-069</t>
  </si>
  <si>
    <t>11-070</t>
  </si>
  <si>
    <t>11-071</t>
  </si>
  <si>
    <t>11-072</t>
  </si>
  <si>
    <t>11-073</t>
  </si>
  <si>
    <t>11-074</t>
  </si>
  <si>
    <t>11-075</t>
  </si>
  <si>
    <t>11-076</t>
  </si>
  <si>
    <t>11-077</t>
  </si>
  <si>
    <t>11-078</t>
  </si>
  <si>
    <t>11-079</t>
  </si>
  <si>
    <t>13-001</t>
  </si>
  <si>
    <t>13-002</t>
  </si>
  <si>
    <t>13-003</t>
  </si>
  <si>
    <t>13-004</t>
  </si>
  <si>
    <t>13-005</t>
  </si>
  <si>
    <t>13-006</t>
  </si>
  <si>
    <t>13-007</t>
  </si>
  <si>
    <t>13-008</t>
  </si>
  <si>
    <t>13-009</t>
  </si>
  <si>
    <t>13-010</t>
  </si>
  <si>
    <t>13-011</t>
  </si>
  <si>
    <t>13-012</t>
  </si>
  <si>
    <t>13-013</t>
  </si>
  <si>
    <t>13-014</t>
  </si>
  <si>
    <t>13-015</t>
  </si>
  <si>
    <t>13-016</t>
  </si>
  <si>
    <t>13-017</t>
  </si>
  <si>
    <t>13-018</t>
  </si>
  <si>
    <t>13-019</t>
  </si>
  <si>
    <t>13-020</t>
  </si>
  <si>
    <t>13-021</t>
  </si>
  <si>
    <t>13-022</t>
  </si>
  <si>
    <t>13-023</t>
  </si>
  <si>
    <t>13-024</t>
  </si>
  <si>
    <t>13-025</t>
  </si>
  <si>
    <t>13-026</t>
  </si>
  <si>
    <t>13-027</t>
  </si>
  <si>
    <t>13-028</t>
  </si>
  <si>
    <t>13-029</t>
  </si>
  <si>
    <t>13-030</t>
  </si>
  <si>
    <t>13-031</t>
  </si>
  <si>
    <t>13-032</t>
  </si>
  <si>
    <t>13-033</t>
  </si>
  <si>
    <t>13-034</t>
  </si>
  <si>
    <t>12-001</t>
  </si>
  <si>
    <t>12-002</t>
  </si>
  <si>
    <t>12-003</t>
  </si>
  <si>
    <t>12-004</t>
  </si>
  <si>
    <t>12-005</t>
  </si>
  <si>
    <t>12-006</t>
  </si>
  <si>
    <t>12-007</t>
  </si>
  <si>
    <t>12-008</t>
  </si>
  <si>
    <t>12-009</t>
  </si>
  <si>
    <t>12-010</t>
  </si>
  <si>
    <t>12-011</t>
  </si>
  <si>
    <t>12-012</t>
  </si>
  <si>
    <t>12-013</t>
  </si>
  <si>
    <t>12-014</t>
  </si>
  <si>
    <t>14-001</t>
  </si>
  <si>
    <t>14-004</t>
  </si>
  <si>
    <t>14-005</t>
  </si>
  <si>
    <t>14-006</t>
  </si>
  <si>
    <t>14-007</t>
  </si>
  <si>
    <t>14-008</t>
  </si>
  <si>
    <t>14-009</t>
  </si>
  <si>
    <t>14-010</t>
  </si>
  <si>
    <t>14-012</t>
  </si>
  <si>
    <t>14-013</t>
  </si>
  <si>
    <t>14-014</t>
  </si>
  <si>
    <t>14-015</t>
  </si>
  <si>
    <t>14-016</t>
  </si>
  <si>
    <t>14-017</t>
  </si>
  <si>
    <t>14-019</t>
  </si>
  <si>
    <t>14-021</t>
  </si>
  <si>
    <t>14-022</t>
  </si>
  <si>
    <t>31-001</t>
  </si>
  <si>
    <t>31-002</t>
  </si>
  <si>
    <t>31-003</t>
  </si>
  <si>
    <t>31-004</t>
  </si>
  <si>
    <t>31-005</t>
  </si>
  <si>
    <t>31-006</t>
  </si>
  <si>
    <t>31-007</t>
  </si>
  <si>
    <t>31-008</t>
  </si>
  <si>
    <t>31-009</t>
  </si>
  <si>
    <t>31-010</t>
  </si>
  <si>
    <t>31-011</t>
  </si>
  <si>
    <t>31-012</t>
  </si>
  <si>
    <t>31-013</t>
  </si>
  <si>
    <t>31-014</t>
  </si>
  <si>
    <t>31-015</t>
  </si>
  <si>
    <t>31-016</t>
  </si>
  <si>
    <t>31-017</t>
  </si>
  <si>
    <t>31-018</t>
  </si>
  <si>
    <t>31-019</t>
  </si>
  <si>
    <t>31-020</t>
  </si>
  <si>
    <t>31-021</t>
  </si>
  <si>
    <t>31-022</t>
  </si>
  <si>
    <t>31-023</t>
  </si>
  <si>
    <t>31-024</t>
  </si>
  <si>
    <t>31-025</t>
  </si>
  <si>
    <t>31-027</t>
  </si>
  <si>
    <t>31-028</t>
  </si>
  <si>
    <t>31-029</t>
  </si>
  <si>
    <t>31-030</t>
  </si>
  <si>
    <t>31-031</t>
  </si>
  <si>
    <t>31-032</t>
  </si>
  <si>
    <t>31-033</t>
  </si>
  <si>
    <t>31-034</t>
  </si>
  <si>
    <t>31-035</t>
  </si>
  <si>
    <t>31-036</t>
  </si>
  <si>
    <t>32-002</t>
  </si>
  <si>
    <t>32-006</t>
  </si>
  <si>
    <t>32-007</t>
  </si>
  <si>
    <t>33-001</t>
  </si>
  <si>
    <t>33-003</t>
  </si>
  <si>
    <t>33-004</t>
  </si>
  <si>
    <t>33-005</t>
  </si>
  <si>
    <t>33-006</t>
  </si>
  <si>
    <t>33-007</t>
  </si>
  <si>
    <t>33-008</t>
  </si>
  <si>
    <t>33-009</t>
  </si>
  <si>
    <t>33-010</t>
  </si>
  <si>
    <t>33-011</t>
  </si>
  <si>
    <t>33-012</t>
  </si>
  <si>
    <t>33-013</t>
  </si>
  <si>
    <t>33-014</t>
  </si>
  <si>
    <t>33-015</t>
  </si>
  <si>
    <t>33-016</t>
  </si>
  <si>
    <t>33-017</t>
  </si>
  <si>
    <t>33-018</t>
  </si>
  <si>
    <t>33-019</t>
  </si>
  <si>
    <t>33-020</t>
  </si>
  <si>
    <t>33-021</t>
  </si>
  <si>
    <t>33-022</t>
  </si>
  <si>
    <t>33-023</t>
  </si>
  <si>
    <t>33-024</t>
  </si>
  <si>
    <t>33-025</t>
  </si>
  <si>
    <t>31-037</t>
  </si>
  <si>
    <t>31-038</t>
  </si>
  <si>
    <t>31-039</t>
  </si>
  <si>
    <t>21-001</t>
  </si>
  <si>
    <t>21-002</t>
  </si>
  <si>
    <t>21-003</t>
  </si>
  <si>
    <t>21-004</t>
  </si>
  <si>
    <t>21-005</t>
  </si>
  <si>
    <t>21-006</t>
  </si>
  <si>
    <t>21-007</t>
  </si>
  <si>
    <t>21-008</t>
  </si>
  <si>
    <t>21-009</t>
  </si>
  <si>
    <t>21-010</t>
  </si>
  <si>
    <t>21-011</t>
  </si>
  <si>
    <t>21-013</t>
  </si>
  <si>
    <t>21-014</t>
  </si>
  <si>
    <t>21-015</t>
  </si>
  <si>
    <t>21-016</t>
  </si>
  <si>
    <t>21-017</t>
  </si>
  <si>
    <t>21-019</t>
  </si>
  <si>
    <t>21-020</t>
  </si>
  <si>
    <t>21-021</t>
  </si>
  <si>
    <t>21-022</t>
  </si>
  <si>
    <t>21-023</t>
  </si>
  <si>
    <t>21-024</t>
  </si>
  <si>
    <t>21-025</t>
  </si>
  <si>
    <t>21-026</t>
  </si>
  <si>
    <t>21-027</t>
  </si>
  <si>
    <t>21-028</t>
  </si>
  <si>
    <t>22-001</t>
  </si>
  <si>
    <t>22-002</t>
  </si>
  <si>
    <t>22-003</t>
  </si>
  <si>
    <t>22-004</t>
  </si>
  <si>
    <t>22-005</t>
  </si>
  <si>
    <t>22-006</t>
  </si>
  <si>
    <t>22-007</t>
  </si>
  <si>
    <t>22-008</t>
  </si>
  <si>
    <t>22-009</t>
  </si>
  <si>
    <t>22-010</t>
  </si>
  <si>
    <t>22-011</t>
  </si>
  <si>
    <t>22-012</t>
  </si>
  <si>
    <t>22-013</t>
  </si>
  <si>
    <t>22-014</t>
  </si>
  <si>
    <t>22-015</t>
  </si>
  <si>
    <t>23-001</t>
  </si>
  <si>
    <t>23-002</t>
  </si>
  <si>
    <t>23-003</t>
  </si>
  <si>
    <t>23-004</t>
  </si>
  <si>
    <t>23-005</t>
  </si>
  <si>
    <t>23-006</t>
  </si>
  <si>
    <t>23-008</t>
  </si>
  <si>
    <t>23-009</t>
  </si>
  <si>
    <t>23-010</t>
  </si>
  <si>
    <t>23-011</t>
  </si>
  <si>
    <t>23-012</t>
  </si>
  <si>
    <t>23-013</t>
  </si>
  <si>
    <t>23-014</t>
  </si>
  <si>
    <t>23-015</t>
  </si>
  <si>
    <t>23-016</t>
  </si>
  <si>
    <t>23-017</t>
  </si>
  <si>
    <t>23-018</t>
  </si>
  <si>
    <t>23-019</t>
  </si>
  <si>
    <t>23-020</t>
  </si>
  <si>
    <t>23-021</t>
  </si>
  <si>
    <t>23-022</t>
  </si>
  <si>
    <t>23-023</t>
  </si>
  <si>
    <t>23-024</t>
  </si>
  <si>
    <t>23-025</t>
  </si>
  <si>
    <t>23-026</t>
  </si>
  <si>
    <t>23-027</t>
  </si>
  <si>
    <t>23-028</t>
  </si>
  <si>
    <t>23-029</t>
  </si>
  <si>
    <t>23-030</t>
  </si>
  <si>
    <t>23-031</t>
  </si>
  <si>
    <t>23-032</t>
  </si>
  <si>
    <t>23-033</t>
  </si>
  <si>
    <t>23-034</t>
  </si>
  <si>
    <t>23-035</t>
  </si>
  <si>
    <t>23-036</t>
  </si>
  <si>
    <t>23-037</t>
  </si>
  <si>
    <t>23-038</t>
  </si>
  <si>
    <t>23-039</t>
  </si>
  <si>
    <t>23-040</t>
  </si>
  <si>
    <t>23-041</t>
  </si>
  <si>
    <t>23-042</t>
  </si>
  <si>
    <t>23-043</t>
  </si>
  <si>
    <t>23-044</t>
  </si>
  <si>
    <t>23-045</t>
  </si>
  <si>
    <t>23-046</t>
  </si>
  <si>
    <t>23-047</t>
  </si>
  <si>
    <t>23-048</t>
  </si>
  <si>
    <t>23-049</t>
  </si>
  <si>
    <t>23-050</t>
  </si>
  <si>
    <t>23-051</t>
  </si>
  <si>
    <t>23-052</t>
  </si>
  <si>
    <t>23-053</t>
  </si>
  <si>
    <t>23-054</t>
  </si>
  <si>
    <t>23-055</t>
  </si>
  <si>
    <t>24-001</t>
  </si>
  <si>
    <t>24-002</t>
  </si>
  <si>
    <t>24-003</t>
  </si>
  <si>
    <t>24-004</t>
  </si>
  <si>
    <t>24-005</t>
  </si>
  <si>
    <t>24-006</t>
  </si>
  <si>
    <t>24-007</t>
  </si>
  <si>
    <t>24-008</t>
  </si>
  <si>
    <t>41-001</t>
  </si>
  <si>
    <t>41-003</t>
  </si>
  <si>
    <t>41-004</t>
  </si>
  <si>
    <t>41-005</t>
  </si>
  <si>
    <t>41-006</t>
  </si>
  <si>
    <t>41-007</t>
  </si>
  <si>
    <t>41-008</t>
  </si>
  <si>
    <t>41-009</t>
  </si>
  <si>
    <t>41-010</t>
  </si>
  <si>
    <t>41-011</t>
  </si>
  <si>
    <t>41-012</t>
  </si>
  <si>
    <t>42-001</t>
  </si>
  <si>
    <t>42-002</t>
  </si>
  <si>
    <t>42-003</t>
  </si>
  <si>
    <t>42-004</t>
  </si>
  <si>
    <t>42-005</t>
  </si>
  <si>
    <t>42-006</t>
  </si>
  <si>
    <t>42-007</t>
  </si>
  <si>
    <t>42-008</t>
  </si>
  <si>
    <t>42-009</t>
  </si>
  <si>
    <t>42-010</t>
  </si>
  <si>
    <t>42-011</t>
  </si>
  <si>
    <t>42-012</t>
  </si>
  <si>
    <t>42-013</t>
  </si>
  <si>
    <t>42-014</t>
  </si>
  <si>
    <t>42-015</t>
  </si>
  <si>
    <t>42-016</t>
  </si>
  <si>
    <t>42-017</t>
  </si>
  <si>
    <t>42-018</t>
  </si>
  <si>
    <t>42-019</t>
  </si>
  <si>
    <t>42-020</t>
  </si>
  <si>
    <t>42-021</t>
  </si>
  <si>
    <t>42-022</t>
  </si>
  <si>
    <t>42-023</t>
  </si>
  <si>
    <t>42-024</t>
  </si>
  <si>
    <t>42-025</t>
  </si>
  <si>
    <t>42-026</t>
  </si>
  <si>
    <t>42-027</t>
  </si>
  <si>
    <t>42-028</t>
  </si>
  <si>
    <t>42-029</t>
  </si>
  <si>
    <t>42-030</t>
  </si>
  <si>
    <t>42-031</t>
  </si>
  <si>
    <t>42-032</t>
  </si>
  <si>
    <t>42-033</t>
  </si>
  <si>
    <t>42-034</t>
  </si>
  <si>
    <t>42-036</t>
  </si>
  <si>
    <t>42-037</t>
  </si>
  <si>
    <t>42-038</t>
  </si>
  <si>
    <t>42-039</t>
  </si>
  <si>
    <t>42-040</t>
  </si>
  <si>
    <t>42-041</t>
  </si>
  <si>
    <t>42-042</t>
  </si>
  <si>
    <t>42-043</t>
  </si>
  <si>
    <t>42-044</t>
  </si>
  <si>
    <t>42-045</t>
  </si>
  <si>
    <t>42-046</t>
  </si>
  <si>
    <t>42-047</t>
  </si>
  <si>
    <t>42-048</t>
  </si>
  <si>
    <t>42-049</t>
  </si>
  <si>
    <t>42-050</t>
  </si>
  <si>
    <t>42-052</t>
  </si>
  <si>
    <t>42-053</t>
  </si>
  <si>
    <t>42-054</t>
  </si>
  <si>
    <t>42-055</t>
  </si>
  <si>
    <t>42-056</t>
  </si>
  <si>
    <t>42-057</t>
  </si>
  <si>
    <t>42-058</t>
  </si>
  <si>
    <t>42-059</t>
  </si>
  <si>
    <t>42-060</t>
  </si>
  <si>
    <t>42-061</t>
  </si>
  <si>
    <t>42-062</t>
  </si>
  <si>
    <t>42-063</t>
  </si>
  <si>
    <t>42-064</t>
  </si>
  <si>
    <t>42-065</t>
  </si>
  <si>
    <t>42-066</t>
  </si>
  <si>
    <t>42-067</t>
  </si>
  <si>
    <t>42-068</t>
  </si>
  <si>
    <t>42-069</t>
  </si>
  <si>
    <t>43-001</t>
  </si>
  <si>
    <t>43-002</t>
  </si>
  <si>
    <t>43-003</t>
  </si>
  <si>
    <t>43-004</t>
  </si>
  <si>
    <t>43-005</t>
  </si>
  <si>
    <t>43-006</t>
  </si>
  <si>
    <t>43-007</t>
  </si>
  <si>
    <t>43-008</t>
  </si>
  <si>
    <t>43-009</t>
  </si>
  <si>
    <t>43-010</t>
  </si>
  <si>
    <t>43-011</t>
  </si>
  <si>
    <t>43-012</t>
  </si>
  <si>
    <t>43-013</t>
  </si>
  <si>
    <t>43-014</t>
  </si>
  <si>
    <t>43-015</t>
  </si>
  <si>
    <t>43-016</t>
  </si>
  <si>
    <t>43-017</t>
  </si>
  <si>
    <t>43-018</t>
  </si>
  <si>
    <t>43-019</t>
  </si>
  <si>
    <t>43-020</t>
  </si>
  <si>
    <t>43-021</t>
  </si>
  <si>
    <t>43-022</t>
  </si>
  <si>
    <t>43-023</t>
  </si>
  <si>
    <t>43-024</t>
  </si>
  <si>
    <t>43-025</t>
  </si>
  <si>
    <t>43-026</t>
  </si>
  <si>
    <t>43-027</t>
  </si>
  <si>
    <t>43-028</t>
  </si>
  <si>
    <t>43-029</t>
  </si>
  <si>
    <t>43-030</t>
  </si>
  <si>
    <t>43-031</t>
  </si>
  <si>
    <t>51-001</t>
  </si>
  <si>
    <t>51-002</t>
  </si>
  <si>
    <t>51-004</t>
  </si>
  <si>
    <t>51-005</t>
  </si>
  <si>
    <t>51-007</t>
  </si>
  <si>
    <t>51-008</t>
  </si>
  <si>
    <t>51-009</t>
  </si>
  <si>
    <t>51-010</t>
  </si>
  <si>
    <t>51-011</t>
  </si>
  <si>
    <t>51-012</t>
  </si>
  <si>
    <t>51-013</t>
  </si>
  <si>
    <t>52-001</t>
  </si>
  <si>
    <t>52-003</t>
  </si>
  <si>
    <t>52-005</t>
  </si>
  <si>
    <t>52-002</t>
  </si>
  <si>
    <t>52-004</t>
  </si>
  <si>
    <t>52-006</t>
  </si>
  <si>
    <t>52-007</t>
  </si>
  <si>
    <t>15-001</t>
  </si>
  <si>
    <t>15-002</t>
  </si>
  <si>
    <t>15-003</t>
  </si>
  <si>
    <t>15-005</t>
  </si>
  <si>
    <t>15-006</t>
  </si>
  <si>
    <t>15-007</t>
  </si>
  <si>
    <t>15-008</t>
  </si>
  <si>
    <t>15-009</t>
  </si>
  <si>
    <t>15-010</t>
  </si>
  <si>
    <t>15-011</t>
  </si>
  <si>
    <t>15-012</t>
  </si>
  <si>
    <t>15-013</t>
  </si>
  <si>
    <t>15-014</t>
  </si>
  <si>
    <t>15-015</t>
  </si>
  <si>
    <t>unit of mass/NF</t>
  </si>
  <si>
    <t>J/UOP</t>
  </si>
  <si>
    <t>kg gas/UOP</t>
  </si>
  <si>
    <t>unit of mass/L</t>
  </si>
  <si>
    <t>Company Size</t>
  </si>
  <si>
    <t>Small; Medium; not specified</t>
  </si>
  <si>
    <t>Small; Medium</t>
  </si>
  <si>
    <t>Micro; Small; Medium; not specified</t>
  </si>
  <si>
    <t>Micro; Small; Medium; Large; not specified</t>
  </si>
  <si>
    <t>Large; not specified</t>
  </si>
  <si>
    <t>Micro; Large</t>
  </si>
  <si>
    <t>Small; Medium; Large; not specified</t>
  </si>
  <si>
    <t>Micro; Large; not specified</t>
  </si>
  <si>
    <t>Large</t>
  </si>
  <si>
    <t>Micro; Small; Medium; Large</t>
  </si>
  <si>
    <t>Small; Medium; Large</t>
  </si>
  <si>
    <t>Small; Large</t>
  </si>
  <si>
    <t>Relevance</t>
  </si>
  <si>
    <t>Comprehensibility</t>
  </si>
  <si>
    <t>Data Availability</t>
  </si>
  <si>
    <t>Hierarchical Level</t>
  </si>
  <si>
    <t>Name</t>
  </si>
  <si>
    <t>Answers</t>
  </si>
  <si>
    <t>fully</t>
  </si>
  <si>
    <t>partially</t>
  </si>
  <si>
    <t>not at all</t>
  </si>
  <si>
    <t>Filter options</t>
  </si>
  <si>
    <t>to classify the indicator into an organizational area and a sustainability theme</t>
  </si>
  <si>
    <t>to provide general information on the indicator</t>
  </si>
  <si>
    <t>How relevant is the indicator?</t>
  </si>
  <si>
    <t>How easily can the indicator be interpreted and applied?</t>
  </si>
  <si>
    <t>How readily available is data to measure the indicator?</t>
  </si>
  <si>
    <t>mark with an "x" to select for further review</t>
  </si>
  <si>
    <t>add any comments</t>
  </si>
  <si>
    <t>to provide details about the references, incl. count and relation to the GRI Disclosures, if applicable</t>
  </si>
  <si>
    <t>Relation to GRI</t>
  </si>
  <si>
    <t>Process Type</t>
  </si>
  <si>
    <t>Review</t>
  </si>
  <si>
    <t>Final Selection</t>
  </si>
  <si>
    <t>to filter indicators based on use-case characteristics</t>
  </si>
  <si>
    <t>Selection for Review</t>
  </si>
  <si>
    <t>Definition</t>
  </si>
  <si>
    <t>Particulate Matter (PM10, PM2.5) emissions</t>
  </si>
  <si>
    <t>This indicator measures the total production output, by number per product type.</t>
  </si>
  <si>
    <t>Comprehen-sibility</t>
  </si>
  <si>
    <t>Measure-ment Type</t>
  </si>
  <si>
    <t>Data 
Availability</t>
  </si>
  <si>
    <t>Company 
Size</t>
  </si>
  <si>
    <t>Process 
Type</t>
  </si>
  <si>
    <t>Measurement type</t>
  </si>
  <si>
    <t>Value added to operating revenue ratio</t>
  </si>
  <si>
    <t>13 Manufacture of textiles; 23 Manufacture of other non-metallic mineral products; 24 Manufacture of basic metals; 25 Manufacture of fabricated metal products, except machinery and equipment; 27 Manufacture of electrical equipment; 28 Manufacture of machinery and equipment n.e.c.; 29 Manufacture of motor vehicles, trailers and semi-trailers; 30 Manufacture of other transport equipment; 31 Manufacture of furniture; not specified</t>
  </si>
  <si>
    <t>Metal emissions to air</t>
  </si>
  <si>
    <t>Process types</t>
  </si>
  <si>
    <t>Transforming</t>
  </si>
  <si>
    <t>Coating and finishing</t>
  </si>
  <si>
    <t>Change of material properties</t>
  </si>
  <si>
    <t>13 Manufacture of textiles</t>
  </si>
  <si>
    <t>15 Manufacture of leather and related products</t>
  </si>
  <si>
    <t>28 Manufacture of machinery and equipment n.e.c.</t>
  </si>
  <si>
    <t>31 Manufacture of furniture</t>
  </si>
  <si>
    <t>32 Other manufacturing</t>
  </si>
  <si>
    <t>Level</t>
  </si>
  <si>
    <t>Size</t>
  </si>
  <si>
    <t>Micro</t>
  </si>
  <si>
    <t>Small</t>
  </si>
  <si>
    <t>Medium</t>
  </si>
  <si>
    <t>The user can filter and select indicators for sustainability assessments of manufacturing systems in a five-step process.</t>
  </si>
  <si>
    <t>choose one or more</t>
  </si>
  <si>
    <t>Step 3: Go to the tab "3. Filtered List" and review and select proposed indicators.</t>
  </si>
  <si>
    <t>Step 4 (optional): Add custom indicators in the tab "4. Custom Indicators."</t>
  </si>
  <si>
    <t>Result: Go to the tab "6. Final Set" to view your final selection.</t>
  </si>
  <si>
    <t>Step 5: Go to the tab "5. Review" to review and finalize the set of selected indicators.</t>
  </si>
  <si>
    <t>How relevant is the indicator for your use case?</t>
  </si>
  <si>
    <t>Filter for your desired level(s) here:</t>
  </si>
  <si>
    <t>Filter for your desired criterion/ criteria here:</t>
  </si>
  <si>
    <t>This indicator measures the absolute volume of all water used.</t>
  </si>
  <si>
    <t>This indicator measures the ratio of absolute volume of all water used to a normalization factor (NF).  The NF can, e.g., be the number of units produced.</t>
  </si>
  <si>
    <t>This indicator measures the absolute volume of all freshwater used.</t>
  </si>
  <si>
    <t>This indicator measures the absolute volume of all water used exclusively for manufacturing.</t>
  </si>
  <si>
    <t>This indicator measures the absolute volume of all freshwater used to the production output.</t>
  </si>
  <si>
    <t>This indicator measures the absolute volume of renewable water used.</t>
  </si>
  <si>
    <t>Water usage</t>
  </si>
  <si>
    <t>Freshwater usage</t>
  </si>
  <si>
    <t>Water usage for production</t>
  </si>
  <si>
    <t>Freshwater usage per unit of production</t>
  </si>
  <si>
    <t>Renewable water usage</t>
  </si>
  <si>
    <t>Non-investment environmental costs</t>
  </si>
  <si>
    <t>Feil et al. 2017; Helleno et al. 2017; Kravchenko et al. 2019; Veleva et al. 2001</t>
  </si>
  <si>
    <t>This indicator queries the use of an environmental management system/ assessment. (yes / no, which type)</t>
  </si>
  <si>
    <t>Butnariu &amp; Avasilcai 2015; Cagno et al. 2019; Cagno et al. 2023; Hatim et al. 2020; Jiang et al. 2018; Jiang et al. 2019; Kibira et al. 2018; Park &amp; Kremer 2017; Saad et al. 2021; Saxena et al. 2020; Singh et al. 2007a</t>
  </si>
  <si>
    <t>This indicator measures the net CO2 emissions, calculated as the ratio of CO2 emissions generated minus CO2 emissions removed to CO2 emissions generated.</t>
  </si>
  <si>
    <t>This indicator measures the energy efficiency, which can be measured as the relation between the real work performed by a process and the energy consumption of doing this work, e.g., the ratio of final energy used for production to the total input energy.</t>
  </si>
  <si>
    <t>Akbar &amp; Irohara 2018; Amrina &amp; Vilsi 2015; Amrina &amp; Yusof 2011; Cagno et al. 2019; Cagno et al. 2023; Helleno et al. 2017; Kravchenko et al. 2019; Mengistu &amp; Panizzolo 2023a; Swarnakar et al. 2021; Swarnakar et al. 2022</t>
  </si>
  <si>
    <t>Cagno et al. 2019; Huang &amp; Badurdeen 2018; Kravchenko et al. 2019; Mengistu &amp; Panizzolo 2023a</t>
  </si>
  <si>
    <t>Cagno et al. 2019; Cagno et al. 2023; Faulkner &amp; Badurdeen 2014; Gao et al. 2016; Huang &amp; Badurdeen 2018; Mengistu &amp; Panizzolo 2023a</t>
  </si>
  <si>
    <t>Huang &amp; Badurdeen 2017; Huang &amp; Badurdeen 2018; Kaldas et al. 2021; Kocmanová et al. 2015; Kravchenko et al. 2019; Vimal et al. 2015; OECD</t>
  </si>
  <si>
    <t>Beekaroo et al. 2019; Singh et al. 2007a; Singh et al. 2007b</t>
  </si>
  <si>
    <t>Long et al. 2016; Singh et al. 2007a</t>
  </si>
  <si>
    <t>Azapagic &amp; Perdan 2000; Pinto et al. 2020</t>
  </si>
  <si>
    <t>This indicator measures the total waste disposed (not recycled). It can also be measured as ratio to the total waste.</t>
  </si>
  <si>
    <t>This indicator measures the mass of recycled waste. It can also be measured as a ratio to the total waste.</t>
  </si>
  <si>
    <t>Azapagic &amp; Perdan 2000; Dočekalová &amp; Kocmanová 2016; Kocmanová et al. 2015; Rao et al. 2006; ISO14031</t>
  </si>
  <si>
    <t>This indicator measures the amount of hazardous waste. It includes waste with toxic, infectious, radioactive, or flammable properties, which poses a potential hazard to human health, other living organisms, and the environment. It can also be measured as a ratio to the total waste.</t>
  </si>
  <si>
    <t>Barni et al. 2022; Huang &amp; Badurdeen 2017; Huang &amp; Badurdeen 2018; Kaldas et al. 2021; Kocmanová et al. 2015; Linke et al. 2013; Rao et al. 2006; Rao et al. 2006; Saxena et al. 2020; Vimal et al. 2015; OECD; ISO14031</t>
  </si>
  <si>
    <t>Beekaroo et al. 2019; Huang &amp; Badurdeen 2017; Huang &amp; Badurdeen 2018; Kaldas et al. 2021; Rao et al. 2006</t>
  </si>
  <si>
    <t>Akbar &amp; Irohara 2018; Amrina &amp; Vilsi 2015; Amrina &amp; Yusof 2011; Cagno et al. 2019; Cagno et al. 2023; Dočekalová &amp; Kocmanová 2016; Faulkner &amp; Badurdeen 2014; Feil et al. 2019; Gao et al. 2016; Huang &amp; Badurdeen 2017; Kaldas et al. 2021; Kravchenko et al. 2019; Lucato et al. 2018; Mengistu &amp; Panizzolo 2021; Mengistu &amp; Panizzolo 2023a; Mengistu &amp; Panizzolo 2023b; Saad et al. 2021; Swarnakar et al. 2021; Swarnakar et al. 2022; Winroth et al. 2016; Zhang &amp; Haapala 2015</t>
  </si>
  <si>
    <t>Gao et al. 2016; Huang &amp; Badurdeen 2018</t>
  </si>
  <si>
    <t>This indicator measures the costs incurred from manufacturing. It includes labor cost, raw material cost, and general overhead.</t>
  </si>
  <si>
    <t>Beekaroo et al. 2019; Kravchenko et al. 2019; Pinto et al. 2020; Singh et al. 2014</t>
  </si>
  <si>
    <t>Fan et al. 2010; Li et al. 2012; Madanchi et al. 2019</t>
  </si>
  <si>
    <t>Dočekalová &amp; Kocmanová 2016; Fan et al. 2010; Gani et al. 2021; Huang &amp; Badurdeen 2017; Kravchenko et al. 2019; Li et al. 2012</t>
  </si>
  <si>
    <t>Butnariu &amp; Avasilcai 2015; Garza-Reyes et al. 2018; Kravchenko et al. 2019; Swarnakar et al. 2021; Swarnakar et al. 2022; ISO14031</t>
  </si>
  <si>
    <t>Butnariu &amp; Avasilcai 2015; Kravchenko et al. 2019</t>
  </si>
  <si>
    <t>Cost of by-product treatment</t>
  </si>
  <si>
    <t>This indicator measures the cost of by-product treatment per unit produced.</t>
  </si>
  <si>
    <t>Quantiative</t>
  </si>
  <si>
    <t>Percentage of product EOL recovered</t>
  </si>
  <si>
    <t>Percentage of products landfilled</t>
  </si>
  <si>
    <t>This indicator measures the percentage of products that were recovered at end-of-life.</t>
  </si>
  <si>
    <t>This indicator measures the percentage of products that were landfilled (not recovered).</t>
  </si>
  <si>
    <t>Huang &amp; Badurdeen 2017; Huang &amp; Badurdeen 2018</t>
  </si>
  <si>
    <t>Kravchenko et al. 2019; Pinto et al. 2020; Swarnakar et al. 2021; Swarnakar et al. 2022; Winroth et al. 2016</t>
  </si>
  <si>
    <t>Administrative costs</t>
  </si>
  <si>
    <t>Huang &amp; Badurdeen 2018; Linke et al. 2013</t>
  </si>
  <si>
    <t>Paju et al. 2011; Song &amp; Moon 2019; Tan et al. 2015</t>
  </si>
  <si>
    <t>This indicator measures the capital cost, e.g., of machines.</t>
  </si>
  <si>
    <t>Product-Level Circularity Metric</t>
  </si>
  <si>
    <t>This indicator is the ratio of recirculated economic value to total product value, i.e., the material cost of recycled materials to all materials consumed.</t>
  </si>
  <si>
    <t>This indicator measures the administrative costs, e.g., for administrative personnel and indirect material.</t>
  </si>
  <si>
    <t>Lee &amp; Farzipoor Saen 2012; Swarnakar et al. 2021; Swarnakar et al. 2022</t>
  </si>
  <si>
    <t>Fan et al. 2010; Feil et al. 2017; Hartini et al. 2020; Li et al. 2012; Zarte et al. 2019</t>
  </si>
  <si>
    <t>Machinery with efficient energy consumption</t>
  </si>
  <si>
    <t>This indicator measures the number of machines and equipment with efficient energy consumption to the total number of machines and equipment.</t>
  </si>
  <si>
    <t>This indicator queries if a factory uses a ventilation system with filters for airborne particles and gases.</t>
  </si>
  <si>
    <t>Use of air filter system</t>
  </si>
  <si>
    <t>Feil et al. 2017; ISO14031; OECD</t>
  </si>
  <si>
    <t>Cagno et al. 2019; Feil et al. 2019; Mengistu &amp; Panizzolo 2021; Mengistu &amp; Panizzolo 2023a; Mengistu &amp; Panizzolo 2023b; Zarte et al. 2019</t>
  </si>
  <si>
    <t>Reduction of greenhouse gas emissions</t>
  </si>
  <si>
    <t>This indicator describes practices that are established to reduce greenhouse gas emissions.</t>
  </si>
  <si>
    <t>Reduction of hazardous material</t>
  </si>
  <si>
    <t>This indicator describes measures to minimize the use of hazardous materials in products.</t>
  </si>
  <si>
    <t>Employee injury rate</t>
  </si>
  <si>
    <t>This indicator measures the employee injury rates during the manufacturing of each component of a product.</t>
  </si>
  <si>
    <t>Barni et al. 2022; Fan et al. 2010; Huang &amp; Badurdeen 2017; Kaldas et al. 2021; Kravchenko et al. 2019; Rao et al. 2006; Singh et al. 2014; Winroth et al. 2016; ISO14031</t>
  </si>
  <si>
    <t>Azapagic &amp; Perdan 2000; Beekaroo et al. 2019; Kravchenko et al. 2019; Singh et al. 2014</t>
  </si>
  <si>
    <t>Material removal rate</t>
  </si>
  <si>
    <t>Tool life</t>
  </si>
  <si>
    <t>Surface roughness</t>
  </si>
  <si>
    <t>Cutting temperature</t>
  </si>
  <si>
    <t>Akbar &amp; Irohara 2018; Beekaroo et al. 2019; Brown et al. 2014; Fan et al. 2010; Gani et al. 2021; Huang &amp; Badurdeen 2017; Huang &amp; Badurdeen 2018; Kaldas et al. 2021; Kibira et al. 2018; Kravchenko et al. 2019; Linke et al. 2013; Long et al. 2016; Mengistu &amp; Panizzolo 2023a; Park &amp; Kremer 2017; Rao et al. 2006; Saxena et al. 2020; Singh et al. 2007a; Singh et al. 2014; Swarnakar et al. 2022; Tan et al. 2015; Veleva et al. 2001; Vimal et al. 2015; OECD; ISO14031</t>
  </si>
  <si>
    <t>Akbar &amp; Irohara 2018; Barni et al. 2022; Beekaroo et al. 2019; Brown et al. 2014; Faulkner &amp; Badurdeen 2014; Huang &amp; Badurdeen 2017; Huang &amp; Badurdeen 2018; Kaldas et al. 2021; Kocmanová et al. 2015; Kravchenko et al. 2019; Linke et al. 2013; Long et al. 2016; Rao et al. 2006; Singh et al. 2007a; Tan et al. 2015; OECD; ISO14031</t>
  </si>
  <si>
    <t>Fan et al. 2010; Faulkner &amp; Badurdeen 2014; Feil et al. 2017; Gani et al. 2021; Huang &amp; Badurdeen 2017; Huang &amp; Badurdeen 2018; Kaldas et al. 2021; Kravchenko et al. 2019; Li et al. 2012; Rao et al. 2006; Singh et al. 2007b; OECD</t>
  </si>
  <si>
    <t>Cagno et al. 2019; Faulkner &amp; Badurdeen 2014; Huang &amp; Badurdeen 2018; Kravchenko et al. 2019; Park &amp; Kremer 2017; Tan et al. 2015</t>
  </si>
  <si>
    <t>Brown et al. 2014; Rao et al. 2006; Saxena et al. 2020; Singh et al. 2007a; Singh et al. 2007b; Swarnakar et al. 2021</t>
  </si>
  <si>
    <t>Gani et al. 2021; Kravchenko et al. 2019</t>
  </si>
  <si>
    <t>Amrina &amp; Yusof 2011; Cagno et al. 2019; Mengistu &amp; Panizzolo 2021; Mengistu &amp; Panizzolo 2023a; Mengistu &amp; Panizzolo 2023b; Moldavska &amp; Welo 2018</t>
  </si>
  <si>
    <t>Avram et al. 2011; Jiang et al. 2012</t>
  </si>
  <si>
    <t>cm³/sec</t>
  </si>
  <si>
    <t xml:space="preserve">This indicator measures the volume of material removed per time unit. </t>
  </si>
  <si>
    <t>min</t>
  </si>
  <si>
    <t>This indicator measures the tool life, i.e., the time until a tool needs to be replaced.</t>
  </si>
  <si>
    <t>This indicator measures the mean temperature at the tool-chip interface.</t>
  </si>
  <si>
    <t>°C</t>
  </si>
  <si>
    <t>This indicator measures the surface roughness, i.e., the surface integrity of the machined surface.</t>
  </si>
  <si>
    <t>Ra</t>
  </si>
  <si>
    <t>Bhanot et al. 2016a; Bhanot et al. 2016b; Zarte et al. 2019</t>
  </si>
  <si>
    <t>Avram et al. 2011; Bhanot et al. 2016a; Bhanot et al. 2016b</t>
  </si>
  <si>
    <t>Avram et al. 2011; Bhanot et al. 2016a; Bhanot et al. 2016b; Cagno et al. 2019; Cagno et al. 2023; Huang &amp; Badurdeen 2018; Linke et al. 2013; Song &amp; Moon 2019; Winroth et al. 2016</t>
  </si>
  <si>
    <t>Amrina &amp; Yusof 2011; Lucato et al. 2018; Paju et al. 2011; Swarnakar et al. 2021; Swarnakar et al. 2022</t>
  </si>
  <si>
    <t>Bao &amp; Bodapati 2012; Butnariu &amp; Avasilcai 2015; Cagno et al. 2019; Dočekalová &amp; Kocmanová 2016; Gani et al. 2021; Jiang et al. 2018; Kibira et al. 2018</t>
  </si>
  <si>
    <t>Akbar &amp; Irohara 2018; Faulkner &amp; Badurdeen 2014; Huang &amp; Badurdeen 2017; Huang &amp; Badurdeen 2018; Kravchenko et al. 2019; Mengistu &amp; Panizzolo 2023a; Saad et al. 2021; Tan et al. 2015; Zhang &amp; Haapala 2015</t>
  </si>
  <si>
    <t>Gao et al. 2016; Huang &amp; Badurdeen 2018; Zhang &amp; Haapala 2015</t>
  </si>
  <si>
    <t>Coolant cost</t>
  </si>
  <si>
    <t>This indicator measures the coolant costs.</t>
  </si>
  <si>
    <t>Metal consumption</t>
  </si>
  <si>
    <t>Hartini et al. 2020; Huang &amp; Badurdeen 2018; Kibira et al. 2018; Kravchenko et al. 2019; Mengistu &amp; Panizzolo 2021; Mengistu &amp; Panizzolo 2023a; Mengistu &amp; Panizzolo 2023b; Rahdari &amp; Anvary Rostamy 2015; Song &amp; Moon 2019; Tan et al. 2015</t>
  </si>
  <si>
    <t>Cagno et al. 2019; Cagno et al. 2023; Dočekalová &amp; Kocmanová 2016; Fan et al. 2010; Feil et al. 2019; Gani et al. 2021; Jiang et al. 2018; Li et al. 2012; Long et al. 2016; Rahdari &amp; Anvary Rostamy 2015; Rao et al. 2006; ISO14031</t>
  </si>
  <si>
    <t>Gani et al. 2021; Moldavska &amp; Welo 2018; Veleva et al. 2001</t>
  </si>
  <si>
    <t>Mengistu &amp; Panizzolo 2023a; Pinto et al. 2020; Song &amp; Moon 2019; Zarte et al. 2019</t>
  </si>
  <si>
    <t>Cagno et al. 2023; Dočekalová &amp; Kocmanová 2016; Feil et al. 2019; Huang &amp; Badurdeen 2018; Jiang et al. 2012; Paju et al. 2011; Soltani et al. 2019; Swarnakar et al. 2022; Vinodh et al. 2016</t>
  </si>
  <si>
    <t>Bao &amp; Bodapati 2012; Butnariu &amp; Avasilcai 2015; Cagno et al. 2019; Dočekalová &amp; Kocmanová 2016; Eastwood &amp; Haapala 2015; Feil et al. 2017; Hartini et al. 2020; Mengistu &amp; Panizzolo 2023a; Pinto et al. 2020; Rao et al. 2006; Taddese et al. 2020</t>
  </si>
  <si>
    <t>Akbar &amp; Irohara 2018; Fan et al. 2010; Gani et al. 2021; Li et al. 2012; Taddese et al. 2020; Tan et al. 2015; ISO14031</t>
  </si>
  <si>
    <t>Amrina &amp; Vilsi 2015; Kravchenko et al. 2019; Pusporini &amp; Vanany 2019; Rao 2008; Song &amp; Moon 2019; ISO14031</t>
  </si>
  <si>
    <t>Cagno et al. 2019; Cagno et al. 2023; Veleva et al. 2001</t>
  </si>
  <si>
    <t>Cagno et al. 2019; Gani et al. 2021; Mengistu &amp; Panizzolo 2023a; Singh et al. 2007b; ISO14031</t>
  </si>
  <si>
    <t>Azapagic &amp; Perdan 2000; Fan et al. 2010; Feil et al. 2019; Fijał 2007; Gani et al. 2021; Huang &amp; Badurdeen 2018; Jiang et al. 2012; Jiang et al. 2018; Kravchenko et al. 2019; Li et al. 2012; Mengistu &amp; Panizzolo 2023a; Park &amp; Kremer 2017; Pinto et al. 2020; Pusporini &amp; Vanany 2019; Rao 2008; Tan et al. 2015</t>
  </si>
  <si>
    <t>Avram et al. 2011; Bhanot et al. 2016a; Bhanot et al. 2016b; Cagno et al. 2019; Cagno et al. 2023; Hatim et al. 2020; Jiang et al. 2019; Mengistu &amp; Panizzolo 2023a; Soltani et al. 2019</t>
  </si>
  <si>
    <t>Cagno et al. 2019; Taddese et al. 2020</t>
  </si>
  <si>
    <t>Cagno et al. 2019; Cagno et al. 2023; Dočekalová &amp; Kocmanová 2016; Jiang et al. 2018; Jiang et al. 2019; Mengistu &amp; Panizzolo 2021; Mengistu &amp; Panizzolo 2023a; Mengistu &amp; Panizzolo 2023b; Moldavska &amp; Welo 2018; Pinto et al. 2020</t>
  </si>
  <si>
    <t>Butnariu &amp; Avasilcai 2015; Cagno et al. 2019; Cagno et al. 2023; Dočekalová &amp; Kocmanová 2016; Feil et al. 2017; Feil et al. 2019; Huang &amp; Badurdeen 2017; Jiang et al. 2018; Kaldas et al. 2021; Mengistu &amp; Panizzolo 2021; Mengistu &amp; Panizzolo 2023a; Mengistu &amp; Panizzolo 2023b; Pinto et al. 2020; Song &amp; Moon 2019</t>
  </si>
  <si>
    <t>Beekaroo et al. 2019; Bhakar et al. 2018; Butnariu &amp; Avasilcai 2015; Cagno et al. 2019; Cagno et al. 2023; Dočekalová &amp; Kocmanová 2016; Feil et al. 2019; Huang &amp; Badurdeen 2017; Jiang et al. 2018; Kaldas et al. 2021; Madanchi et al. 2019; Mengistu &amp; Panizzolo 2021; Mengistu &amp; Panizzolo 2023a; Mengistu &amp; Panizzolo 2023b; Pinto et al. 2020; Salvado et al. 2015; Singh et al. 2007a; Song &amp; Moon 2019</t>
  </si>
  <si>
    <t>Amrina &amp; Vilsi 2015; Amrina &amp; Yusof 2011; Huang &amp; Badurdeen 2017; Kravchenko et al. 2019; Mengistu &amp; Panizzolo 2021; Mengistu &amp; Panizzolo 2023a; Mengistu &amp; Panizzolo 2023b; Tan et al. 2015</t>
  </si>
  <si>
    <t>Amrina &amp; Vilsi 2015; Azapagic &amp; Perdan 2000; Barni et al. 2022; Cagno et al. 2019; Dočekalová &amp; Kocmanová 2016; Fan et al. 2010; Gani et al. 2021; Hartini et al. 2020; Kravchenko et al. 2019; Lee et al. 2014; Li et al. 2012; Madanchi et al. 2019; Mengistu &amp; Panizzolo 2021; Mengistu &amp; Panizzolo 2023a; Mengistu &amp; Panizzolo 2023b; Park &amp; Kremer 2017; Pusporini &amp; Vanany 2019; EMAS</t>
  </si>
  <si>
    <t>Amrina &amp; Vilsi 2015; Amrina &amp; Yusof 2011; Barni et al. 2022; Bhanot et al. 2016a; Bhanot et al. 2016b; Butnariu &amp; Avasilcai 2015; Cagno et al. 2019; Dočekalová &amp; Kocmanová 2016; Eastwood &amp; Haapala 2015; Fan et al. 2010; Favi et al. 2017; Feil et al. 2019; Gani et al. 2021; Garza-Reyes et al. 2018; Hartini et al. 2020; Helleno et al. 2017; Herva et al. 2008; Huang &amp; Badurdeen 2018; Jiang et al. 2018; Jiang et al. 2019; Kravchenko et al. 2019; Lee et al. 2014; Li et al. 2012; Mengistu &amp; Panizzolo 2023a; Park &amp; Kremer 2017; Pinto et al. 2020; Pusporini &amp; Vanany 2019; Rahdari &amp; Anvary Rostamy 2015; Singh et al. 2014; Soltani et al. 2019; Swarnakar et al. 2020; Vinodh et al. 2016; EMAS</t>
  </si>
  <si>
    <t>Amrina &amp; Vilsi 2015; Amrina &amp; Yusof 2011; Beekaroo et al. 2019; Dočekalová &amp; Kocmanová 2016; Gani et al. 2021; Kravchenko et al. 2019; Mengistu &amp; Panizzolo 2023a; Lee et al. 2014; Singh et al. 2014; EMAS; ISO14031</t>
  </si>
  <si>
    <t>Akbar &amp; Irohara 2018; Amrina &amp; Yusof 2011; Butnariu &amp; Avasilcai 2015; Cagno et al. 2019; Dočekalová &amp; Kocmanová 2016; Feil et al. 2019; Gani et al. 2021; Jiang et al. 2018; Mengistu &amp; Panizzolo 2023a; Paju et al. 2011; Pinto et al. 2020; Rao 2008; Singh et al. 2014; Tan et al. 2015</t>
  </si>
  <si>
    <t>Amrina &amp; Yusof 2011; Cagno et al. 2019; Cagno et al. 2023; Faulkner &amp; Badurdeen 2014; Garza-Reyes et al. 2018; Singh et al. 2007b</t>
  </si>
  <si>
    <t>This indicator measures the ratio of the mass of packaging material input to a normalization factor (NF). The NF can, e.g., be the number of units produced or the total mass of the products.</t>
  </si>
  <si>
    <t>Azapagic &amp; Perdan 2000; Bhakar et al. 2018; Kravchenko et al. 2019; Madanchi et al. 2019; Moldavska &amp; Welo 2018</t>
  </si>
  <si>
    <t>Kravchenko et al. 2019; Lin et al. 2020; Tan et al. 2015; ISO14031</t>
  </si>
  <si>
    <t>Amrina &amp; Vilsi 2015; Amrina &amp; Yusof 2011; Cagno et al. 2019; Dočekalová &amp; Kocmanová 2016; Kravchenko et al. 2019</t>
  </si>
  <si>
    <t>Gani et al. 2021; Huang &amp; Badurdeen 2018; Lee et al. 2014; Mengistu &amp; Panizzolo 2023a; Kravchenko et al. 2019</t>
  </si>
  <si>
    <t>Cagno et al. 2019; Cagno et al. 2023; Feil et al. 2019; Gani et al. 2021; Kravchenko et al. 2019; Mengistu &amp; Panizzolo 2023a; Singh et al. 2014</t>
  </si>
  <si>
    <t>Huang &amp; Badurdeen 2018; Kravchenko et al. 2019; Linke et al. 2013; OECD</t>
  </si>
  <si>
    <t>Kravchenko et al. 2019; Singh et al. 2007b; OECD</t>
  </si>
  <si>
    <t>This indicator measures the total costs incurred by the company for disposing liquid waste. It can also be measured as percentage of total production costs.</t>
  </si>
  <si>
    <t>Solid waste disposal cost</t>
  </si>
  <si>
    <t>This indicator measures the total costs incurred by the company for disposing solid waste. It can also be measured as percentage of total production costs.</t>
  </si>
  <si>
    <t>Cost of defects</t>
  </si>
  <si>
    <t>This indicator measures the cost associated with defects in manufacture.</t>
  </si>
  <si>
    <t>Kravchenko et al. 2019; Song &amp; Moon 2019</t>
  </si>
  <si>
    <t>This indicator measures the total logistics costs. It can be measured as a sum of delivery cost, inventory cost, information sharing cost and ordering cost.</t>
  </si>
  <si>
    <t>Huang &amp; Badurdeen 2017; Kaldas et al. 2021; Kravchenko et al. 2019</t>
  </si>
  <si>
    <t>Diversity of materials</t>
  </si>
  <si>
    <t>This indicator measures the number of different types of materials used.</t>
  </si>
  <si>
    <t>Kravchenko et al. 2019; Park &amp; Kremer 2017</t>
  </si>
  <si>
    <t>Cost of transportation in reverse supply chain</t>
  </si>
  <si>
    <t>This indicator measures the cost of transportation in the reverse supply chain, i.e., the cost of collection and transporting products at end-of-life.</t>
  </si>
  <si>
    <t>This indicator measures the amount of conflict materials used, such as tin, tungsten, tantalum and gold.</t>
  </si>
  <si>
    <t>Amount of Conflict Resources</t>
  </si>
  <si>
    <t>Amount of Critical Raw Materials</t>
  </si>
  <si>
    <t>This indicator measures the amount of critical raw materials (in the "List of Critical Raw Materials for the EU") used.</t>
  </si>
  <si>
    <t>Gani et al. 2021; Kravchenko et al. 2019; Madanchi et al. 2019; Park &amp; Kremer 2017; Singh et al. 2007b; Veleva et al. 2001</t>
  </si>
  <si>
    <t>Herva et al. 2008; Kravchenko et al. 2019; Singh et al. 2007b</t>
  </si>
  <si>
    <t>Butnariu &amp; Avasilcai 2015; Cagno et al. 2019; Favi et al. 2017; Herva et al. 2008; Kravchenko et al. 2019; Singh et al. 2007b</t>
  </si>
  <si>
    <t>Akbar &amp; Irohara 2018; Avram et al. 2011; Butnariu &amp; Avasilcai 2015; Favi et al. 2017; Feil et al. 2019; Hatim et al. 2020; Helleno et al. 2017; Jiang et al. 2012; Jiang et al. 2019; Kravchenko et al. 2019; Lucato et al. 2018; Mengistu &amp; Panizzolo 2023a; Soltani et al. 2019; Swarnakar et al. 2020; Swarnakar et al. 2021; Swarnakar et al. 2022; Vinodh et al. 2016</t>
  </si>
  <si>
    <t>Jiang et al. 2012; Lucato et al. 2018</t>
  </si>
  <si>
    <t>Beekaroo et al. 2019; Dočekalová &amp; Kocmanová 2016; Feil et al. 2019; Hartini et al. 2020; Lee et al. 2014; Mengistu &amp; Panizzolo 2023a; Singh et al. 2014; Zarte et al. 2019; EMAS</t>
  </si>
  <si>
    <t>Bao &amp; Bodapati 2012; Butnariu &amp; Avasilcai 2015; Cagno et al. 2019; Dočekalová &amp; Kocmanová 2016; Gani et al. 2021; Jiang et al. 2018; Long et al. 2016</t>
  </si>
  <si>
    <t>Kravchenko et al. 2019; Veleva et al. 2001</t>
  </si>
  <si>
    <t>Bao &amp; Bodapati 2012; Dočekalová &amp; Kocmanová 2016; Kravchenko et al. 2019; Singh et al. 2007a</t>
  </si>
  <si>
    <t>Reused/ recycled water usage</t>
  </si>
  <si>
    <t>Reused/ recycled water usage percentual</t>
  </si>
  <si>
    <t>Akbar &amp; Irohara 2018; Cagno et al. 2019; Cagno et al. 2023; Gani et al. 2021; Garza-Reyes et al. 2018; Huang &amp; Badurdeen 2018; Mengistu &amp; Panizzolo 2023a; Tan et al. 2015; Zarte et al. 2019; ISO14031</t>
  </si>
  <si>
    <t>Fan et al. 2010; Feil et al. 2017; Huang &amp; Badurdeen 2017; Huang &amp; Badurdeen 2018; Kaldas et al. 2021; Kravchenko et al. 2019; Li et al. 2012</t>
  </si>
  <si>
    <t>Bhakar et al. 2018; Pinto et al. 2020</t>
  </si>
  <si>
    <t>This indicator measures the mass of reused or recycled raw material recovered.</t>
  </si>
  <si>
    <t>Reused/ recycled raw material recovered</t>
  </si>
  <si>
    <t>Bhanot et al. 2016a; Bhanot et al. 2016b; Brown et al. 2014; Favi et al. 2017; Garza-Reyes et al. 2018; Kravchenko et al. 2019; Lucato et al. 2018; Swarnakar et al. 2021; Swarnakar et al. 2022; Vinodh et al. 2016</t>
  </si>
  <si>
    <t>11-032</t>
  </si>
  <si>
    <t>11-033</t>
  </si>
  <si>
    <t>11-034</t>
  </si>
  <si>
    <t>14-002</t>
  </si>
  <si>
    <t>14-003</t>
  </si>
  <si>
    <t>14-011</t>
  </si>
  <si>
    <t>14-018</t>
  </si>
  <si>
    <t>14-020</t>
  </si>
  <si>
    <t>15-004</t>
  </si>
  <si>
    <t>23-007</t>
  </si>
  <si>
    <t>21-012</t>
  </si>
  <si>
    <t>21-018</t>
  </si>
  <si>
    <t>32-001</t>
  </si>
  <si>
    <t>32-003</t>
  </si>
  <si>
    <t>32-004</t>
  </si>
  <si>
    <t>32-005</t>
  </si>
  <si>
    <t>33-002</t>
  </si>
  <si>
    <t>31-026</t>
  </si>
  <si>
    <t>31-040</t>
  </si>
  <si>
    <t>31-041</t>
  </si>
  <si>
    <t>31-042</t>
  </si>
  <si>
    <t>31-043</t>
  </si>
  <si>
    <t>41-002</t>
  </si>
  <si>
    <t>42-035</t>
  </si>
  <si>
    <t>42-051</t>
  </si>
  <si>
    <t>51-003</t>
  </si>
  <si>
    <t>51-006</t>
  </si>
  <si>
    <t>Bao &amp; Bodapati 2012; Dočekalová &amp; Kocmanová 2016; Eastwood &amp; Haapala 2015; Fan et al. 2010; Feil et al. 2017; Feil et al. 2019; Gani et al. 2021; Hartini et al. 2020; Huang &amp; Badurdeen 2018; Li et al. 2012; Mengistu &amp; Panizzolo 2023a; Rao et al. 2006; Salvado et al. 2015; Winroth et al. 2016; EMAS</t>
  </si>
  <si>
    <t>Huang &amp; Badurdeen 2018; Kibira et al. 2018; Park &amp; Kremer 2017; Syu et al. 2022; Taddese et al. 2020</t>
  </si>
  <si>
    <t>Amrina &amp; Vilsi 2015; Amrina &amp; Yusof 2011; Azapagic &amp; Perdan 2000; Barni et al. 2022; Bhakar et al. 2018; Bhanot et al. 2016a; Bhanot et al. 2016b; Dočekalová &amp; Kocmanová 2016; Eastwood &amp; Haapala 2015; Fan et al. 2010; Fijał 2007; Gani et al. 2021; Garza-Reyes et al. 2018; Huang &amp; Badurdeen 2018; Jiang et al. 2018; Lee et al. 2014; Li et al. 2012; Madanchi et al. 2019; Mengistu &amp; Panizzolo 2023a; Mengistu &amp; Panizzolo 2023b; Paju et al. 2011; Pinto et al. 2020; Pusporini &amp; Vanany 2019; Rao 2008; Saad et al. 2021; Salvado et al. 2015; Taddese et al. 2020; Winroth et al. 2016; Zarte et al. 2019; EMAS; ISO14031</t>
  </si>
  <si>
    <t>Taddese et al. 2020</t>
  </si>
  <si>
    <t>Cagno et al. 2019; Dočekalová &amp; Kocmanová 2016; Feil et al. 2019; Taddese et al. 2020; Veleva et al. 2001</t>
  </si>
  <si>
    <t>Dočekalová &amp; Kocmanová 2016; Lee et al. 2014; Saxena et al. 2020; Singh et al. 2014; Taddese et al. 2020</t>
  </si>
  <si>
    <t>Salvado et al. 2015; Taddese et al. 2020</t>
  </si>
  <si>
    <t>Barni et al. 2022; Dočekalová &amp; Kocmanová 2016; Gani et al. 2021; Lee et al. 2014; Madanchi et al. 2019; Mengistu &amp; Panizzolo 2023a; Moldavska &amp; Welo 2018; Rahdari &amp; Anvary Rostamy 2015; Song &amp; Moon 2019; Taddese et al. 2020; Winroth et al. 2016; Zarte et al. 2019; EMAS</t>
  </si>
  <si>
    <t>Amrina &amp; Vilsi 2015; Amrina &amp; Yusof 2011; Beekaroo et al. 2019; Eastwood &amp; Haapala 2015; Fan et al. 2010; Feil et al. 2019; Gani et al. 2021; Gani et al. 2021; Hartini et al. 2020; Helleno et al. 2017; Huang &amp; Badurdeen 2017; Huang &amp; Badurdeen 2018; Jiang et al. 2012; Kaldas et al. 2021; Kravchenko et al. 2019; Li et al. 2012; Mengistu &amp; Panizzolo 2023a; Moldavska &amp; Welo 2018; Paju et al. 2011; Rahdari &amp; Anvary Rostamy 2015; Rao 2008; Song &amp; Moon 2019; Taddese et al. 2020; Veleva et al. 2001; EMAS</t>
  </si>
  <si>
    <t>Akbar &amp; Irohara 2018; Beekaroo et al. 2019; Cagno et al. 2019; Dočekalová &amp; Kocmanová 2016; Eastwood &amp; Haapala 2015; Fan et al. 2010; Gani et al. 2021; Huang &amp; Badurdeen 2018; Kravchenko et al. 2019; Li et al. 2012; Madanchi et al. 2019; Mengistu &amp; Panizzolo 2023a; Park &amp; Kremer 2017; Pinto et al. 2020; Singh et al. 2007b; Swarnakar et al. 2022; Taddese et al. 2020; Tan et al. 2015; Veleva et al. 2001; EMAS; ISO14031</t>
  </si>
  <si>
    <t>13 Manufacture of textiles; 15 Manufacture of leather and related products; 23 Manufacture of other non-metallic mineral products; 24 Manufacture of basic metals; 26 Manufacture of computer, electronic and optical products; 27 Manufacture of electrical equipment; 28 Manufacture of machinery and equipment n.e.c.; 29 Manufacture of motor vehicles, trailers and semi-trailers; 31 Manufacture of furniture; not specified</t>
  </si>
  <si>
    <t>13 Manufacture of textiles; 15 Manufacture of leather and related products; 23 Manufacture of other non-metallic mineral products; 26 Manufacture of computer, electronic and optical products; 28 Manufacture of machinery and equipment n.e.c.; 29 Manufacture of motor vehicles, trailers and semi-trailers; 31 Manufacture of furniture; not specified</t>
  </si>
  <si>
    <t>24 Manufacture of basic metals; 25 Manufacture of fabricated metal products, except machinery and equipment; 26 Manufacture of computer, electronic and optical products; 28 Manufacture of machinery and equipment n.e.c.; 29 Manufacture of motor vehicles, trailers and semi-trailers; 31 Manufacture of furniture; 32 Other manufacturing; not specified</t>
  </si>
  <si>
    <t>13 Manufacture of textiles; 25 Manufacture of fabricated metal products, except machinery and equipment; 26 Manufacture of computer, electronic and optical products; 27 Manufacture of electrical equipment; 28 Manufacture of machinery and equipment n.e.c.; 29 Manufacture of motor vehicles, trailers and semi-trailers; 31 Manufacture of furniture; not specified</t>
  </si>
  <si>
    <t>13 Manufacture of textiles; 26 Manufacture of computer, electronic and optical products; 28 Manufacture of machinery and equipment n.e.c.; 29 Manufacture of motor vehicles, trailers and semi-trailers; 31 Manufacture of furniture; not specified</t>
  </si>
  <si>
    <t>13 Manufacture of textiles; 24 Manufacture of basic metals; 26 Manufacture of computer, electronic and optical products; 28 Manufacture of machinery and equipment n.e.c.; 31 Manufacture of furniture; not specified</t>
  </si>
  <si>
    <t>13 Manufacture of textiles; 15 Manufacture of leather and related products; 24 Manufacture of basic metals; 28 Manufacture of machinery and equipment n.e.c.; 31 Manufacture of furniture; not specified</t>
  </si>
  <si>
    <t>13 Manufacture of textiles; 23 Manufacture of other non-metallic mineral products; 24 Manufacture of basic metals; 27 Manufacture of electrical equipment; 28 Manufacture of machinery and equipment n.e.c.; 29 Manufacture of motor vehicles, trailers and semi-trailers; 31 Manufacture of furniture; not specified</t>
  </si>
  <si>
    <t>13 Manufacture of textiles; 25 Manufacture of fabricated metal products, except machinery and equipment; 26 Manufacture of computer, electronic and optical products; 29 Manufacture of motor vehicles, trailers and semi-trailers; 31 Manufacture of furniture; 32 Other manufacturing; not specified</t>
  </si>
  <si>
    <t>23 Manufacture of other non-metallic mineral products; 29 Manufacture of motor vehicles, trailers and semi-trailers</t>
  </si>
  <si>
    <t>13 Manufacture of textiles; 24 Manufacture of basic metals; 28 Manufacture of machinery and equipment n.e.c.; 31 Manufacture of furniture; not specified</t>
  </si>
  <si>
    <t>13 Manufacture of textiles; 14 Manufacture of wearing apparel; 22 Manufacture of rubber and plastic products; 23 Manufacture of other non-metallic mineral products; 24 Manufacture of basic metals; 25 Manufacture of fabricated metal products, except machinery and equipment; 26 Manufacture of computer, electronic and optical products; 27 Manufacture of electrical equipment; 28 Manufacture of machinery and equipment n.e.c.; 29 Manufacture of motor vehicles, trailers and semi-trailers; 30 Manufacture of other transport equipment; 31 Manufacture of furniture; not specified</t>
  </si>
  <si>
    <t>13 Manufacture of textiles; 24 Manufacture of basic metals; 28 Manufacture of machinery and equipment n.e.c.; 29 Manufacture of motor vehicles, trailers and semi-trailers; 31 Manufacture of furniture; not specified</t>
  </si>
  <si>
    <t>13 Manufacture of textiles; 23 Manufacture of other non-metallic mineral products; 24 Manufacture of basic metals; 26 Manufacture of computer, electronic and optical products; 27 Manufacture of electrical equipment; 28 Manufacture of machinery and equipment n.e.c.; 29 Manufacture of motor vehicles, trailers and semi-trailers; 31 Manufacture of furniture; not specified</t>
  </si>
  <si>
    <t>15 Manufacture of leather and related products; 23 Manufacture of other non-metallic mineral products; 25 Manufacture of fabricated metal products, except machinery and equipment; 26 Manufacture of computer, electronic and optical products; 27 Manufacture of electrical equipment; 28 Manufacture of machinery and equipment n.e.c.; 29 Manufacture of motor vehicles, trailers and semi-trailers; 30 Manufacture of other transport equipment; not specified</t>
  </si>
  <si>
    <t>13 Manufacture of textiles; 22 Manufacture of rubber and plastic products; 25 Manufacture of fabricated metal products, except machinery and equipment; 27 Manufacture of electrical equipment; 28 Manufacture of machinery and equipment n.e.c.; 29 Manufacture of motor vehicles, trailers and semi-trailers; 31 Manufacture of furniture; not specified</t>
  </si>
  <si>
    <t>13 Manufacture of textiles; 23 Manufacture of other non-metallic mineral products; 24 Manufacture of basic metals; 27 Manufacture of electrical equipment; 28 Manufacture of machinery and equipment n.e.c.; 29 Manufacture of motor vehicles, trailers and semi-trailers; 31 Manufacture of furniture</t>
  </si>
  <si>
    <t>13 Manufacture of textiles; 24 Manufacture of basic metals; 26 Manufacture of computer, electronic and optical products; 28 Manufacture of machinery and equipment n.e.c.; 31 Manufacture of furniture</t>
  </si>
  <si>
    <t>13 Manufacture of textiles; 27 Manufacture of electrical equipment; 29 Manufacture of motor vehicles, trailers and semi-trailers; 31 Manufacture of furniture; not specified</t>
  </si>
  <si>
    <t>13 Manufacture of textiles; 25 Manufacture of fabricated metal products, except machinery and equipment; 26 Manufacture of computer, electronic and optical products; 28 Manufacture of machinery and equipment n.e.c.; 29 Manufacture of motor vehicles, trailers and semi-trailers; 31 Manufacture of furniture; 32 Other manufacturing; not specified</t>
  </si>
  <si>
    <t>13 Manufacture of textiles; 24 Manufacture of basic metals; 28 Manufacture of machinery and equipment n.e.c.; 31 Manufacture of furniture</t>
  </si>
  <si>
    <t>13 Manufacture of textiles; 14 Manufacture of wearing apparel; 28 Manufacture of machinery and equipment n.e.c.; 29 Manufacture of motor vehicles, trailers and semi-trailers; 31 Manufacture of furniture</t>
  </si>
  <si>
    <t>13 Manufacture of textiles; 14 Manufacture of wearing apparel; 24 Manufacture of basic metals; 27 Manufacture of electrical equipment; 28 Manufacture of machinery and equipment n.e.c.; 29 Manufacture of motor vehicles, trailers and semi-trailers; 31 Manufacture of furniture</t>
  </si>
  <si>
    <t>13 Manufacture of textiles; 23 Manufacture of other non-metallic mineral products; 27 Manufacture of electrical equipment; 28 Manufacture of machinery and equipment n.e.c.; 29 Manufacture of motor vehicles, trailers and semi-trailers; 31 Manufacture of furniture; not specified</t>
  </si>
  <si>
    <t>Micro; Small; Medium</t>
  </si>
  <si>
    <t>24 Manufacture of basic metals; 26 Manufacture of computer, electronic and optical products; 28 Manufacture of machinery and equipment n.e.c.; 29 Manufacture of motor vehicles, trailers and semi-trailers; not specified</t>
  </si>
  <si>
    <t>13 Manufacture of textiles; 22 Manufacture of rubber and plastic products; 23 Manufacture of other non-metallic mineral products; 28 Manufacture of machinery and equipment n.e.c.; 29 Manufacture of motor vehicles, trailers and semi-trailers; 31 Manufacture of furniture; not specified</t>
  </si>
  <si>
    <t>24 Manufacture of basic metals; 26 Manufacture of computer, electronic and optical products; 29 Manufacture of motor vehicles, trailers and semi-trailers</t>
  </si>
  <si>
    <t>13 Manufacture of textiles; 15 Manufacture of leather and related products; 23 Manufacture of other non-metallic mineral products; 24 Manufacture of basic metals; 26 Manufacture of computer, electronic and optical products; 27 Manufacture of electrical equipment; 28 Manufacture of machinery and equipment n.e.c.; 29 Manufacture of motor vehicles, trailers and semi-trailers; 30 Manufacture of other transport equipment; 31 Manufacture of furniture; not specified</t>
  </si>
  <si>
    <t>13 Manufacture of textiles; 24 Manufacture of basic metals; 27 Manufacture of electrical equipment; 28 Manufacture of machinery and equipment n.e.c.; 31 Manufacture of furniture; not specified</t>
  </si>
  <si>
    <t>25 Manufacture of fabricated metal products, except machinery and equipment; 30 Manufacture of other transport equipment; not specified</t>
  </si>
  <si>
    <t>13 Manufacture of textiles; 22 Manufacture of rubber and plastic products; 24 Manufacture of basic metals; 27 Manufacture of electrical equipment; 28 Manufacture of machinery and equipment n.e.c.; 29 Manufacture of motor vehicles, trailers and semi-trailers; 30 Manufacture of other transport equipment; 31 Manufacture of furniture; not specified</t>
  </si>
  <si>
    <t>13 Manufacture of textiles; 24 Manufacture of basic metals; 28 Manufacture of machinery and equipment n.e.c.; 29 Manufacture of motor vehicles, trailers and semi-trailers; 31 Manufacture of furniture</t>
  </si>
  <si>
    <t>13 Manufacture of textiles; 22 Manufacture of rubber and plastic products; 24 Manufacture of basic metals; 25 Manufacture of fabricated metal products, except machinery and equipment; 28 Manufacture of machinery and equipment n.e.c.; 29 Manufacture of motor vehicles, trailers and semi-trailers; 31 Manufacture of furniture; not specified</t>
  </si>
  <si>
    <t>13 Manufacture of textiles; 24 Manufacture of basic metals; 27 Manufacture of electrical equipment; 28 Manufacture of machinery and equipment n.e.c.; 29 Manufacture of motor vehicles, trailers and semi-trailers; 30 Manufacture of other transport equipment; 31 Manufacture of furniture</t>
  </si>
  <si>
    <t>13 Manufacture of textiles; 15 Manufacture of leather and related products; 22 Manufacture of rubber and plastic products; 23 Manufacture of other non-metallic mineral products; 24 Manufacture of basic metals; 27 Manufacture of electrical equipment; 28 Manufacture of machinery and equipment n.e.c.; 29 Manufacture of motor vehicles, trailers and semi-trailers; 30 Manufacture of other transport equipment; 31 Manufacture of furniture; not specified</t>
  </si>
  <si>
    <t>13 Manufacture of textiles; 23 Manufacture of other non-metallic mineral products; 24 Manufacture of basic metals; 25 Manufacture of fabricated metal products, except machinery and equipment; 27 Manufacture of electrical equipment; 28 Manufacture of machinery and equipment n.e.c.; 29 Manufacture of motor vehicles, trailers and semi-trailers; 31 Manufacture of furniture; not specified</t>
  </si>
  <si>
    <t>13 Manufacture of textiles; 22 Manufacture of rubber and plastic products; 23 Manufacture of other non-metallic mineral products; 24 Manufacture of basic metals; 27 Manufacture of electrical equipment; 28 Manufacture of machinery and equipment n.e.c.; 29 Manufacture of motor vehicles, trailers and semi-trailers; 31 Manufacture of furniture; not specified</t>
  </si>
  <si>
    <t>13 Manufacture of textiles; 23 Manufacture of other non-metallic mineral products; 24 Manufacture of basic metals; 25 Manufacture of fabricated metal products, except machinery and equipment; 26 Manufacture of computer, electronic and optical products; 27 Manufacture of electrical equipment; 28 Manufacture of machinery and equipment n.e.c.; 29 Manufacture of motor vehicles, trailers and semi-trailers; 30 Manufacture of other transport equipment; 31 Manufacture of furniture; not specified</t>
  </si>
  <si>
    <t>13 Manufacture of textiles; 15 Manufacture of leather and related products; 22 Manufacture of rubber and plastic products; 24 Manufacture of basic metals; 28 Manufacture of machinery and equipment n.e.c.; 29 Manufacture of motor vehicles, trailers and semi-trailers; 31 Manufacture of furniture; not specified</t>
  </si>
  <si>
    <t>Original forming; Transforming; Joining; not specified</t>
  </si>
  <si>
    <t>13 Manufacture of textiles; 25 Manufacture of fabricated metal products, except machinery and equipment; 26 Manufacture of computer, electronic and optical products; 28 Manufacture of machinery and equipment n.e.c.; 29 Manufacture of motor vehicles, trailers and semi-trailers; 30 Manufacture of other transport equipment; 31 Manufacture of furniture; not specified</t>
  </si>
  <si>
    <t>25 Manufacture of fabricated metal products, except machinery and equipment; 26 Manufacture of computer, electronic and optical products; 27 Manufacture of electrical equipment; 29 Manufacture of motor vehicles, trailers and semi-trailers; 30 Manufacture of other transport equipment; 31 Manufacture of furniture; 32 Other manufacturing; not specified</t>
  </si>
  <si>
    <t>13 Manufacture of textiles; 24 Manufacture of basic metals; 25 Manufacture of fabricated metal products, except machinery and equipment; 28 Manufacture of machinery and equipment n.e.c.; 29 Manufacture of motor vehicles, trailers and semi-trailers; 31 Manufacture of furniture; 32 Other manufacturing; not specified</t>
  </si>
  <si>
    <t>13 Manufacture of textiles; 24 Manufacture of basic metals; 25 Manufacture of fabricated metal products, except machinery and equipment; 26 Manufacture of computer, electronic and optical products; 27 Manufacture of electrical equipment; 28 Manufacture of machinery and equipment n.e.c.; 29 Manufacture of motor vehicles, trailers and semi-trailers; 30 Manufacture of other transport equipment; 31 Manufacture of furniture; 32 Other manufacturing; not specified</t>
  </si>
  <si>
    <t>13 Manufacture of textiles; 24 Manufacture of basic metals; 25 Manufacture of fabricated metal products, except machinery and equipment; 27 Manufacture of electrical equipment; 28 Manufacture of machinery and equipment n.e.c.; 29 Manufacture of motor vehicles, trailers and semi-trailers; 30 Manufacture of other transport equipment; 31 Manufacture of furniture; not specified</t>
  </si>
  <si>
    <t>13 Manufacture of textiles; 22 Manufacture of rubber and plastic products; 23 Manufacture of other non-metallic mineral products; 25 Manufacture of fabricated metal products, except machinery and equipment; 26 Manufacture of computer, electronic and optical products; 28 Manufacture of machinery and equipment n.e.c.; 29 Manufacture of motor vehicles, trailers and semi-trailers; 30 Manufacture of other transport equipment; 31 Manufacture of furniture; not specified</t>
  </si>
  <si>
    <t>13 Manufacture of textiles; 24 Manufacture of basic metals; 26 Manufacture of computer, electronic and optical products; 27 Manufacture of electrical equipment; 28 Manufacture of machinery and equipment n.e.c.; 29 Manufacture of motor vehicles, trailers and semi-trailers; 30 Manufacture of other transport equipment; 31 Manufacture of furniture; not specified</t>
  </si>
  <si>
    <t>13 Manufacture of textiles; 24 Manufacture of basic metals; 25 Manufacture of fabricated metal products, except machinery and equipment; 26 Manufacture of computer, electronic and optical products; 27 Manufacture of electrical equipment; 28 Manufacture of machinery and equipment n.e.c.; 29 Manufacture of motor vehicles, trailers and semi-trailers; 30 Manufacture of other transport equipment; 31 Manufacture of furniture; not specified</t>
  </si>
  <si>
    <t>13 Manufacture of textiles; 24 Manufacture of basic metals; 26 Manufacture of computer, electronic and optical products; 27 Manufacture of electrical equipment; 28 Manufacture of machinery and equipment n.e.c.; 31 Manufacture of furniture</t>
  </si>
  <si>
    <t>13 Manufacture of textiles; 23 Manufacture of other non-metallic mineral products; 25 Manufacture of fabricated metal products, except machinery and equipment; 28 Manufacture of machinery and equipment n.e.c.; 30 Manufacture of other transport equipment; 31 Manufacture of furniture; not specified</t>
  </si>
  <si>
    <t>Original forming; Separating; Joining; not specified</t>
  </si>
  <si>
    <t>26 Manufacture of computer, electronic and optical products; 31 Manufacture of furniture; not specified</t>
  </si>
  <si>
    <t>13 Manufacture of textiles; 28 Manufacture of machinery and equipment n.e.c.; 30 Manufacture of other transport equipment; 31 Manufacture of furniture</t>
  </si>
  <si>
    <t>202-1</t>
  </si>
  <si>
    <t>207-4</t>
  </si>
  <si>
    <t>301-3</t>
  </si>
  <si>
    <t>305-7</t>
  </si>
  <si>
    <t>306-5</t>
  </si>
  <si>
    <t>You can also go to tab "3b. Full List" and select indicators from there.</t>
  </si>
  <si>
    <t>If you would like to review more indicators, you can filter again (go back to Step 2).</t>
  </si>
  <si>
    <t>Whenever user input is needed, this is highlighted in yellow.</t>
  </si>
  <si>
    <t>leave the first line (row 16) empty if you do not want to filter on this criterion</t>
  </si>
  <si>
    <t>Step 1: Define the scope (hierarchical level).</t>
  </si>
  <si>
    <t>Step 2: Filter based on your use case.</t>
  </si>
  <si>
    <t>Plastic waste</t>
  </si>
  <si>
    <t>Textile waste</t>
  </si>
  <si>
    <t>Paper and cardboard waste</t>
  </si>
  <si>
    <t>Tool for the Selection of Indicators for Sustainability Assessments of Manufacturing Systems</t>
  </si>
  <si>
    <t xml:space="preserve">Before filtering again, click here to save your current selection of indicators selected for review: </t>
  </si>
  <si>
    <t>This indicator measures the noise emitted to the external environment from manufacturing processes.</t>
  </si>
  <si>
    <t>This indicator measures the energy consumption when the machines are in idle status.</t>
  </si>
  <si>
    <t>This indicator expresses the distance from source in kilometers. The source refers to the location from which materials for production are procured.</t>
  </si>
  <si>
    <t>This indicator measures how much of the space capacity of transport is used, in percentage, in terms of area, volume and weight.</t>
  </si>
  <si>
    <t>This indicator measures the nature-oriented area off-site. This is green area located off the organization's site if they are owned or managed by the organization and primarily serve to promote biodiversity; e.g., an orchard on company property.</t>
  </si>
  <si>
    <t>This indicator measures the volume of restricted chemicals consumed (e.g., REACH).</t>
  </si>
  <si>
    <t>This indicator measures the (non-investment) environmental costs, e.g., operating costs for environmental protection.</t>
  </si>
  <si>
    <t>This indicator measures the sum for environmental investments, e.g., in pollution prevention and control or environmental protection.</t>
  </si>
  <si>
    <t>This indicator measures the percentage of employees trained on environmental aspects versus the percentage that need training.</t>
  </si>
  <si>
    <t>This indicator measures the absolute volume of water reused or recycled in the (production) process to the absolute volume of water used.</t>
  </si>
  <si>
    <t>This indicator measures the absolute volume of water reused or recycled in the production process.</t>
  </si>
  <si>
    <t>This indicator measures the total mass of scrapped material.</t>
  </si>
  <si>
    <t>This indicator measures the total weight or volume of coolant fluid consumed, e.g., of a machine tool.</t>
  </si>
  <si>
    <t>This file is intended to be used in parallel to the "Guidelines" PDF.</t>
  </si>
  <si>
    <t>This indicator measures the volume of industrial sewage (used water) released.</t>
  </si>
  <si>
    <t>add additional indicators here (please make sure to add an ID, otherwise they will not appear in the "5. Review" tab)</t>
  </si>
  <si>
    <t>This indicator measures the total labor costs (can include wages and benefits).</t>
  </si>
  <si>
    <t>Amrina, E.; Yusof, S. M.: Key performance indicators for sustainable manufacturing evaluation in automotive companies. In: IEEE (Hrsg.): 2011 IEEE International Conference on Industrial Engineering and Engineering Management, International Conference on Industrial Engineering and Engineering Management. Singapore, 06.-09. Dezember 2011. Piscataway, NJ: IEEE 2011, S. 1093‑1097. ISBN: 978-1-4577-0739-1.</t>
  </si>
  <si>
    <t>Avram, O.; Stroud, I.; Xirouchakis, P.: A multi-criteria decision method for sustainability assessment of the use phase of machine tool systems. The International Journal of Advanced Manufacturing Technology 53 (2011), S. 811‑828.</t>
  </si>
  <si>
    <t>Bao, H. P.; Bodapati, S.: Development of sustainable indicators for products and processes. In: ASME (Hrsg.): International Design Engineering Technical Conferences and Computers and Information in Engineering Conference. Washington, DC / USA, 28.-31. August 2011. New York, NY: American Society of Mechanical Engineers Digital Collection 2012. ISBN: 978-0-7918-5479-2.</t>
  </si>
  <si>
    <t>Barni, A.; Capuzzimati, C.; Fontana, A.; Pirotta, M.; Hänninen, S.; Räikkönen, M.; Uusitalo, T.: Design of a Lifecycle-Oriented Environmental and Economic Indicators Framework for the Mechanical Manufacturing Industry. Sustainability 14 (2022) 5, S. 1‑35.</t>
  </si>
  <si>
    <t>Bhanot, N.; Rao, P. V.; Deshmukh, S. G.: An integrated sustainability assessment framework: a case of turning process. Clean Technologies and Environmental Policy 18 (2016), S. 1475‑1513.</t>
  </si>
  <si>
    <t>Chung, C.-C.; Chao, L.-C.; Chen, C.-H.; Lou, S.-J.: A Balanced Scorecard of Sustainable Management in the Taiwanese Bicycle Industry: Development of Performance Indicators and Importance Analysis. Sustainability 8 (2016) 6, S. 1‑21.</t>
  </si>
  <si>
    <t>Fan, C.; Carrell, J. D.; Zhang, H.-C.: An investigation of indicators for measuring sustainable manufacturing. In: IEEE (Hrsg.): Proceedings of the 2010 IEEE International Symposium on Sustainable Systems and Technology, 2010 IEEE International Symposium on Sustainable Systems and Technology. Arlington, VA / USA, 17.-19. Mai 2010. Piscataway, NJ: IEEE 2010, S. 1‑5. ISBN: 978-1-4244-7095-2.</t>
  </si>
  <si>
    <t>Feil, A. A.; Quevedo, D. M. de; Schreiber, D.: An analysis of the sustainability index of micro- and small-sized furniture industries. Clean Technologies and Environmental Policy 19 (2017), S. 1883‑1896.</t>
  </si>
  <si>
    <t>Feil, A.; Schreiber, D.; Haetinger, C.; Strasburg, V.; Barkert, C.: Sustainability Indicators for Industrial Organizations: Systematic Review of Literature. Sustainability 11 (2019) 3, S. 1‑15.</t>
  </si>
  <si>
    <t>Hatim, Q. Y.; Saldana, C.; Shao, G.; Kim, D. B.; Morris, K. C.; Witherell, P.; Rachuri, S.; Kumara, S.: A decision support methodology for integrated machining process and operation plans for sustainability and productivity assessment. The International Journal of Advanced Manufacturing Technology 107 (2020), S. 3207‑3230.</t>
  </si>
  <si>
    <t>Jiang, Z.; Ding, Z.; Zhang, H.; Cai, W.; Liu, Y.: Data-driven ecological performance evaluation for remanufacturing process. Energy Conversion and Management 198 (2019), S. 1‑12.</t>
  </si>
  <si>
    <t>Kibira, D.; Brundage, M. P.; Feng, S.; Morris, K. C.: Procedure for Selecting Key Performance Indicators for Sustainable Manufacturing. Journal of Manufacturing Science and Engineering 140 (2018) 1-7.</t>
  </si>
  <si>
    <t>Kocmanová, A.; Simanaviciene, Z.; Docekalova, M. P.: Predictive Model for Measuring Sustainability of Manufacturing Companies. Engineering Economics 26 (2015) 4, S. 442‑451.</t>
  </si>
  <si>
    <t>Li, T.; Zhang, H.; Yuan, C.; Liu, Z.; Fan, C.: A PCA-based method for construction of composite sustainability indicators. The International Journal of Life Cycle Assessment 17 (2012), S. 593‑603.</t>
  </si>
  <si>
    <t>Lin, C. J.; Belis, T. T.; Caesaron, D.; Jiang, B. C.; Kuo, T. C.: Development of Sustainability Indicators for Employee-Activity Based Production Process Using Fuzzy Delphi Method. Sustainability 12 (2020) 16, S. 1‑31.</t>
  </si>
  <si>
    <t>Lucato, W.; Santos, J.; Pacchini, A.: Measuring the Sustainability of a Manufacturing Process: A Conceptual Framework. Sustainability 10 (2018) 1, S. 1‑12.</t>
  </si>
  <si>
    <t>Madanchi, N.; Thiede, S.; Sodhi, M.; Herrmann, C.: Development of a Sustainability Assessment Tool for Manufacturing Companies. In: Thiede, S. et al. (Hrsg.): Eco-Factories of the Future. Cham: Springer 2019, S. 41‑68. ISBN: 978-3-319-93730-4. (Sustainable Production, Life Cycle Engineering and Management).</t>
  </si>
  <si>
    <t>Mengistu, A. T.; Panizzolo, R.: Indicators and Framework for Measuring Industrial Sustainability in Italian Footwear Small and Medium Enterprises. Sustainability 13 (2021) 10, S. 1‑20.</t>
  </si>
  <si>
    <t>Mengistu, A. T.; Panizzolo, R.: Analysis of indicators used for measuring industrial sustainability: a systematic review. Environment, Development and Sustainability 25 (2023), S. 1979‑2005.</t>
  </si>
  <si>
    <t>Moldavska, A.; Welo, T.: Testing and Verification of a New Corporate Sustainability Assessment Method for Manufacturing: A Multiple Case Research Study. Sustainability 10 (2018) 11, S. 1‑40.</t>
  </si>
  <si>
    <t>Paju, M.; Heilala, J.; Hentula, M.; Heikkilä, A.; Johansson, B.; Leong, S.; Lyons, K.: Framework and indicators for a Sustainable Manufacturing Mapping methodology. In: Johansson, B. et al. (Hrsg.): Proceedings of the 2010 Winter Simulation Conference. Baltimore, MD / USA, 05.-08. Dezember 2010. Piscataway, NJ: IEEE 2010. ISBN: 978-1-4244-9865-9.</t>
  </si>
  <si>
    <t>Pinto, L. F.; Venturini, G. d.; Digiesi, S.; Facchini, F.; Oliveira Neto, G. C. de: Sustainability Assessment in Manufacturing under a Strong Sustainability Perspective—An Ecological Neutrality Initiative. Sustainability 12 (2020) 21, S. 1‑40.</t>
  </si>
  <si>
    <t>Pusporini, P.; Vanany, I.: Selection process of sustainable production indicators using eco-quality function deployment. IOP Conference Series: Materials Science and Engineering 528 (2019), S. 1‑7.</t>
  </si>
  <si>
    <t>Saxena, P.; Stavropoulos, P.; Kechagias, J.; Salonitis, K.: Sustainability Assessment for Manufacturing Operations. Energies 13 (2020) 11, S. 1‑19.</t>
  </si>
  <si>
    <t>Singh, S.; Olugu, E. U.; Fallahpour, A.: Fuzzy-based sustainable manufacturing assessment model for SMEs. Clean Technologies and Environmental Policy 16 (2014), S. 847‑860.</t>
  </si>
  <si>
    <t>Song, Z.; Moon, Y.: Sustainability metrics for assessing manufacturing systems: a distance-to-target methodology. Environment, Development and Sustainability 21 (2019), S. 2811‑2834.</t>
  </si>
  <si>
    <t>Swarnakar, V.; Singh, A. R.; Tiwari, A. K.: Assessment of Manufacturing Process Through Lean Manufacturing and Sustainability Indicators: Case Studies in Indian Perspective. In: Vijayaraghavan, L. et al. (Hrsg.): Emerging Trends in Mechanical Engineering, International Conference on Emerging Trends in Mechanical Engineering (ICETME 2018). Anantapur / Indien, 20.-22. Dezember 2018. Singapore: Springer 2020, S. 253‑263. ISBN: 978-981-32-9930-6. (Lecture Notes in Mechanical Engineering).</t>
  </si>
  <si>
    <t>Swarnakar, V.; Singh, A. R.; Antony, J.; Tiwari, A. K.; Cudney, E.: Development of a conceptual method for sustainability assessment in manufacturing. Computers &amp; Industrial Engineering 158 (2021), S. 1‑20.</t>
  </si>
  <si>
    <t>Swarnakar, V.; Singh, A. R.; Antony, J.; Jayaraman, R.; Tiwari, A. K.; Rathi, R.; Cudney, E.: Prioritizing Indicators for Sustainability Assessment in Manufacturing Process: An Integrated Approach. Sustainability 14 (2022) 6, S. 1‑24.</t>
  </si>
  <si>
    <t>Vinodh, S.; Ben Ruben, R.; Asokan, P.: Life cycle assessment integrated value stream mapping framework to ensure sustainable manufacturing: a case study. Clean Technologies and Environmental Policy 18 (2016), S. 279‑295.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</si>
</sst>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1"/>
      <color theme="1"/>
      <name val="Calibri"/>
      <family val="2"/>
      <scheme val="minor"/>
    </font>
    <font>
      <b/>
      <sz val="11"/>
      <name val="Calibri"/>
      <family val="2"/>
    </font>
    <font>
      <b/>
      <sz val="11"/>
      <color theme="1"/>
      <name val="Calibri"/>
      <family val="2"/>
      <scheme val="minor"/>
    </font>
    <font>
      <b/>
      <sz val="11"/>
      <name val="Calibri"/>
      <family val="2"/>
      <scheme val="minor"/>
    </font>
    <font>
      <i/>
      <sz val="11"/>
      <color theme="1"/>
      <name val="Calibri"/>
      <family val="2"/>
      <scheme val="minor"/>
    </font>
    <font>
      <b/>
      <u/>
      <sz val="11"/>
      <color theme="1"/>
      <name val="Calibri"/>
      <family val="2"/>
      <scheme val="minor"/>
    </font>
    <font>
      <sz val="11"/>
      <color rgb="FF000000"/>
      <name val="Calibri"/>
      <family val="2"/>
    </font>
    <font>
      <sz val="8"/>
      <name val="Calibri"/>
      <family val="2"/>
      <scheme val="minor"/>
    </font>
    <font>
      <i/>
      <sz val="11"/>
      <name val="Calibri"/>
      <family val="2"/>
      <scheme val="minor"/>
    </font>
    <font>
      <b/>
      <u/>
      <sz val="12"/>
      <color theme="1"/>
      <name val="Calibri"/>
      <family val="2"/>
      <scheme val="minor"/>
    </font>
    <font>
      <sz val="11"/>
      <name val="Calibri"/>
      <family val="2"/>
    </font>
  </fonts>
  <fills count="10">
    <fill>
      <patternFill patternType="none"/>
    </fill>
    <fill>
      <patternFill patternType="gray125"/>
    </fill>
    <fill>
      <patternFill patternType="solid">
        <fgColor theme="6" tint="0.79998168889431442"/>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0" tint="-0.14999847407452621"/>
        <bgColor theme="0" tint="-0.14999847407452621"/>
      </patternFill>
    </fill>
    <fill>
      <patternFill patternType="solid">
        <fgColor theme="8" tint="0.79998168889431442"/>
        <bgColor indexed="64"/>
      </patternFill>
    </fill>
    <fill>
      <patternFill patternType="solid">
        <fgColor theme="0" tint="-4.9989318521683403E-2"/>
        <bgColor indexed="64"/>
      </patternFill>
    </fill>
    <fill>
      <patternFill patternType="solid">
        <fgColor rgb="FFFFFF00"/>
        <bgColor indexed="64"/>
      </patternFill>
    </fill>
  </fills>
  <borders count="6">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
      <left/>
      <right/>
      <top style="thin">
        <color theme="1"/>
      </top>
      <bottom style="thin">
        <color theme="1"/>
      </bottom>
      <diagonal/>
    </border>
    <border>
      <left/>
      <right/>
      <top/>
      <bottom style="thin">
        <color theme="1"/>
      </bottom>
      <diagonal/>
    </border>
    <border>
      <left/>
      <right/>
      <top style="thin">
        <color auto="1"/>
      </top>
      <bottom style="thin">
        <color auto="1"/>
      </bottom>
      <diagonal/>
    </border>
  </borders>
  <cellStyleXfs count="1">
    <xf numFmtId="0" fontId="0" fillId="0" borderId="0"/>
  </cellStyleXfs>
  <cellXfs count="54">
    <xf numFmtId="0" fontId="0" fillId="0" borderId="0" xfId="0"/>
    <xf numFmtId="0" fontId="1" fillId="0" borderId="1" xfId="0" applyFont="1" applyBorder="1" applyAlignment="1">
      <alignment horizontal="left" vertical="top"/>
    </xf>
    <xf numFmtId="0" fontId="0" fillId="0" borderId="0" xfId="0" applyAlignment="1">
      <alignment horizontal="left"/>
    </xf>
    <xf numFmtId="0" fontId="0" fillId="0" borderId="0" xfId="0" applyAlignment="1">
      <alignment wrapText="1"/>
    </xf>
    <xf numFmtId="0" fontId="2" fillId="0" borderId="0" xfId="0" applyFont="1"/>
    <xf numFmtId="0" fontId="5" fillId="0" borderId="0" xfId="0" applyFont="1"/>
    <xf numFmtId="0" fontId="0" fillId="0" borderId="0" xfId="0" quotePrefix="1"/>
    <xf numFmtId="0" fontId="4" fillId="0" borderId="0" xfId="0" applyFont="1"/>
    <xf numFmtId="0" fontId="1" fillId="0" borderId="1" xfId="0" applyFont="1" applyBorder="1" applyAlignment="1">
      <alignment horizontal="left" vertical="center" wrapText="1"/>
    </xf>
    <xf numFmtId="0" fontId="0" fillId="0" borderId="0" xfId="0" applyAlignment="1">
      <alignment horizontal="left" vertical="center" wrapText="1"/>
    </xf>
    <xf numFmtId="16" fontId="0" fillId="0" borderId="0" xfId="0" applyNumberFormat="1" applyAlignment="1">
      <alignment horizontal="left" vertical="center" wrapText="1"/>
    </xf>
    <xf numFmtId="0" fontId="1" fillId="0" borderId="1" xfId="0" applyFont="1" applyBorder="1" applyAlignment="1">
      <alignment horizontal="center" vertical="center" wrapText="1"/>
    </xf>
    <xf numFmtId="0" fontId="2" fillId="0" borderId="0" xfId="0" applyFont="1" applyAlignment="1">
      <alignment horizontal="center" vertical="center" wrapText="1"/>
    </xf>
    <xf numFmtId="0" fontId="2" fillId="0" borderId="3" xfId="0" applyFont="1" applyBorder="1"/>
    <xf numFmtId="0" fontId="0" fillId="0" borderId="4" xfId="0" applyBorder="1"/>
    <xf numFmtId="0" fontId="0" fillId="6" borderId="0" xfId="0" applyFill="1"/>
    <xf numFmtId="0" fontId="0" fillId="7" borderId="2" xfId="0" applyFill="1" applyBorder="1" applyAlignment="1">
      <alignment horizontal="center" vertical="center" wrapText="1"/>
    </xf>
    <xf numFmtId="0" fontId="1" fillId="3" borderId="1" xfId="0" applyFont="1" applyFill="1" applyBorder="1" applyAlignment="1">
      <alignment horizontal="left" vertical="center" wrapText="1"/>
    </xf>
    <xf numFmtId="0" fontId="1" fillId="2" borderId="1" xfId="0" applyFont="1" applyFill="1" applyBorder="1" applyAlignment="1">
      <alignment horizontal="center" vertical="center" wrapText="1"/>
    </xf>
    <xf numFmtId="0" fontId="1" fillId="2" borderId="1" xfId="0" applyFont="1" applyFill="1" applyBorder="1" applyAlignment="1">
      <alignment horizontal="left" vertical="center" wrapText="1"/>
    </xf>
    <xf numFmtId="0" fontId="1" fillId="7" borderId="1" xfId="0" applyFont="1" applyFill="1" applyBorder="1" applyAlignment="1">
      <alignment horizontal="left" vertical="center" wrapText="1"/>
    </xf>
    <xf numFmtId="0" fontId="0" fillId="0" borderId="0" xfId="0" applyAlignment="1">
      <alignment vertical="center"/>
    </xf>
    <xf numFmtId="0" fontId="1" fillId="0" borderId="0" xfId="0" applyFont="1" applyAlignment="1">
      <alignment horizontal="left" vertical="center" wrapText="1"/>
    </xf>
    <xf numFmtId="0" fontId="0" fillId="8" borderId="0" xfId="0" applyFill="1" applyAlignment="1">
      <alignment horizontal="left" vertical="center" wrapText="1"/>
    </xf>
    <xf numFmtId="0" fontId="1" fillId="9" borderId="1" xfId="0" applyFont="1" applyFill="1" applyBorder="1" applyAlignment="1">
      <alignment horizontal="left" vertical="center" wrapText="1"/>
    </xf>
    <xf numFmtId="0" fontId="1" fillId="0" borderId="1" xfId="0" applyFont="1" applyBorder="1" applyAlignment="1">
      <alignment horizontal="center" vertical="top"/>
    </xf>
    <xf numFmtId="0" fontId="1" fillId="0" borderId="0" xfId="0" applyFont="1" applyAlignment="1">
      <alignment horizontal="left" vertical="top"/>
    </xf>
    <xf numFmtId="0" fontId="1" fillId="0" borderId="0" xfId="0" applyFont="1" applyAlignment="1">
      <alignment horizontal="center" vertical="top"/>
    </xf>
    <xf numFmtId="0" fontId="0" fillId="8" borderId="0" xfId="0" applyFill="1"/>
    <xf numFmtId="0" fontId="4" fillId="0" borderId="0" xfId="0" applyFont="1" applyAlignment="1">
      <alignment wrapText="1"/>
    </xf>
    <xf numFmtId="0" fontId="4" fillId="0" borderId="2" xfId="0" applyFont="1" applyBorder="1"/>
    <xf numFmtId="0" fontId="1" fillId="4" borderId="1" xfId="0" applyFont="1" applyFill="1" applyBorder="1" applyAlignment="1">
      <alignment horizontal="left" vertical="center" wrapText="1"/>
    </xf>
    <xf numFmtId="0" fontId="1" fillId="5" borderId="1" xfId="0" applyFont="1" applyFill="1" applyBorder="1" applyAlignment="1">
      <alignment horizontal="left" vertical="center" wrapText="1"/>
    </xf>
    <xf numFmtId="0" fontId="0" fillId="8" borderId="1" xfId="0" applyFill="1" applyBorder="1"/>
    <xf numFmtId="0" fontId="0" fillId="8" borderId="1" xfId="0" applyFill="1" applyBorder="1" applyAlignment="1">
      <alignment wrapText="1"/>
    </xf>
    <xf numFmtId="0" fontId="0" fillId="9" borderId="0" xfId="0" applyFill="1" applyAlignment="1">
      <alignment wrapText="1"/>
    </xf>
    <xf numFmtId="0" fontId="9" fillId="0" borderId="0" xfId="0" applyFont="1"/>
    <xf numFmtId="0" fontId="10" fillId="0" borderId="0" xfId="0" applyFont="1" applyAlignment="1">
      <alignment horizontal="left" vertical="center" wrapText="1"/>
    </xf>
    <xf numFmtId="0" fontId="1" fillId="0" borderId="1" xfId="0" applyFont="1" applyBorder="1" applyAlignment="1">
      <alignment vertical="center" wrapText="1"/>
    </xf>
    <xf numFmtId="0" fontId="2" fillId="7" borderId="2" xfId="0" applyFont="1" applyFill="1" applyBorder="1" applyAlignment="1">
      <alignment horizontal="center" vertical="center" wrapText="1"/>
    </xf>
    <xf numFmtId="0" fontId="8" fillId="3" borderId="5" xfId="0" applyFont="1" applyFill="1" applyBorder="1" applyAlignment="1">
      <alignment horizontal="center" vertical="center" wrapText="1"/>
    </xf>
    <xf numFmtId="0" fontId="3" fillId="3" borderId="5" xfId="0" applyFont="1" applyFill="1" applyBorder="1" applyAlignment="1">
      <alignment horizontal="center" vertical="center" wrapText="1"/>
    </xf>
    <xf numFmtId="0" fontId="4" fillId="2" borderId="5" xfId="0" applyFont="1" applyFill="1" applyBorder="1" applyAlignment="1">
      <alignment horizontal="center" vertical="center" wrapText="1"/>
    </xf>
    <xf numFmtId="0" fontId="4" fillId="4" borderId="5" xfId="0" applyFont="1" applyFill="1" applyBorder="1" applyAlignment="1">
      <alignment horizontal="center" vertical="center" wrapText="1"/>
    </xf>
    <xf numFmtId="0" fontId="4" fillId="5" borderId="5" xfId="0" applyFont="1" applyFill="1" applyBorder="1" applyAlignment="1">
      <alignment horizontal="center" vertical="center" wrapText="1"/>
    </xf>
    <xf numFmtId="0" fontId="3" fillId="3" borderId="2" xfId="0" applyFont="1" applyFill="1" applyBorder="1" applyAlignment="1">
      <alignment horizontal="center" vertical="center" wrapText="1"/>
    </xf>
    <xf numFmtId="0" fontId="2" fillId="2" borderId="2" xfId="0" applyFont="1" applyFill="1" applyBorder="1" applyAlignment="1">
      <alignment horizontal="center" vertical="center" wrapText="1"/>
    </xf>
    <xf numFmtId="0" fontId="2" fillId="4" borderId="2" xfId="0" applyFont="1" applyFill="1" applyBorder="1" applyAlignment="1">
      <alignment horizontal="center" vertical="center" wrapText="1"/>
    </xf>
    <xf numFmtId="0" fontId="2" fillId="5" borderId="2" xfId="0" applyFont="1" applyFill="1" applyBorder="1" applyAlignment="1">
      <alignment horizontal="center" vertical="center" wrapText="1"/>
    </xf>
    <xf numFmtId="0" fontId="3" fillId="3" borderId="2" xfId="0" applyFont="1" applyFill="1" applyBorder="1" applyAlignment="1">
      <alignment horizontal="center" wrapText="1"/>
    </xf>
    <xf numFmtId="0" fontId="2" fillId="2" borderId="2" xfId="0" applyFont="1" applyFill="1" applyBorder="1" applyAlignment="1">
      <alignment horizontal="center"/>
    </xf>
    <xf numFmtId="0" fontId="2" fillId="4" borderId="2" xfId="0" applyFont="1" applyFill="1" applyBorder="1" applyAlignment="1">
      <alignment horizontal="center"/>
    </xf>
    <xf numFmtId="0" fontId="2" fillId="5" borderId="2" xfId="0" applyFont="1" applyFill="1" applyBorder="1" applyAlignment="1">
      <alignment horizontal="center"/>
    </xf>
    <xf numFmtId="0" fontId="2" fillId="7" borderId="2" xfId="0" applyFont="1" applyFill="1" applyBorder="1" applyAlignment="1">
      <alignment horizontal="center"/>
    </xf>
  </cellXfs>
  <cellStyles count="1">
    <cellStyle name="Normal" xfId="0" builtinId="0"/>
  </cellStyles>
  <dxfs count="3">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font>
        <color rgb="FF9C0006"/>
      </font>
      <fill>
        <patternFill>
          <bgColor rgb="FFFFC7CE"/>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200" b="1" i="0" u="none" strike="noStrike" kern="1200" cap="none" spc="0" normalizeH="0" baseline="0">
              <a:solidFill>
                <a:schemeClr val="dk1">
                  <a:lumMod val="50000"/>
                  <a:lumOff val="50000"/>
                </a:schemeClr>
              </a:solidFill>
              <a:latin typeface="+mj-lt"/>
              <a:ea typeface="+mj-ea"/>
              <a:cs typeface="+mj-cs"/>
            </a:defRPr>
          </a:pPr>
          <a:endParaRPr lang="de-DE"/>
        </a:p>
      </c:txPr>
    </c:title>
    <c:autoTitleDeleted val="0"/>
    <c:plotArea>
      <c:layout>
        <c:manualLayout>
          <c:layoutTarget val="inner"/>
          <c:xMode val="edge"/>
          <c:yMode val="edge"/>
          <c:x val="0.44573568892280913"/>
          <c:y val="0.3749295857649716"/>
          <c:w val="0.49944112038924315"/>
          <c:h val="0.36974363151992484"/>
        </c:manualLayout>
      </c:layout>
      <c:barChart>
        <c:barDir val="bar"/>
        <c:grouping val="clustered"/>
        <c:varyColors val="0"/>
        <c:ser>
          <c:idx val="0"/>
          <c:order val="0"/>
          <c:tx>
            <c:strRef>
              <c:f>'5. Review'!$O$5</c:f>
              <c:strCache>
                <c:ptCount val="1"/>
                <c:pt idx="0">
                  <c:v>Dimensions</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de-DE"/>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dk1">
                          <a:lumMod val="35000"/>
                          <a:lumOff val="65000"/>
                        </a:schemeClr>
                      </a:solidFill>
                      <a:round/>
                    </a:ln>
                    <a:effectLst/>
                  </c:spPr>
                </c15:leaderLines>
              </c:ext>
            </c:extLst>
          </c:dLbls>
          <c:cat>
            <c:strRef>
              <c:f>'5. Review'!$N$6:$N$7</c:f>
              <c:strCache>
                <c:ptCount val="2"/>
                <c:pt idx="0">
                  <c:v>Environmental</c:v>
                </c:pt>
                <c:pt idx="1">
                  <c:v>Economic</c:v>
                </c:pt>
              </c:strCache>
            </c:strRef>
          </c:cat>
          <c:val>
            <c:numRef>
              <c:f>'5. Review'!$O$6:$O$7</c:f>
              <c:numCache>
                <c:formatCode>General</c:formatCode>
                <c:ptCount val="2"/>
                <c:pt idx="0">
                  <c:v>0</c:v>
                </c:pt>
                <c:pt idx="1">
                  <c:v>0</c:v>
                </c:pt>
              </c:numCache>
            </c:numRef>
          </c:val>
          <c:extLst>
            <c:ext xmlns:c16="http://schemas.microsoft.com/office/drawing/2014/chart" uri="{C3380CC4-5D6E-409C-BE32-E72D297353CC}">
              <c16:uniqueId val="{00000000-E8D3-47DD-BE3A-96B31CE8B70E}"/>
            </c:ext>
          </c:extLst>
        </c:ser>
        <c:dLbls>
          <c:dLblPos val="outEnd"/>
          <c:showLegendKey val="0"/>
          <c:showVal val="1"/>
          <c:showCatName val="0"/>
          <c:showSerName val="0"/>
          <c:showPercent val="0"/>
          <c:showBubbleSize val="0"/>
        </c:dLbls>
        <c:gapWidth val="247"/>
        <c:axId val="1466034160"/>
        <c:axId val="1466769024"/>
      </c:barChart>
      <c:catAx>
        <c:axId val="1466034160"/>
        <c:scaling>
          <c:orientation val="minMax"/>
        </c:scaling>
        <c:delete val="0"/>
        <c:axPos val="l"/>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dk1">
                    <a:lumMod val="65000"/>
                    <a:lumOff val="35000"/>
                  </a:schemeClr>
                </a:solidFill>
                <a:latin typeface="+mn-lt"/>
                <a:ea typeface="+mn-ea"/>
                <a:cs typeface="+mn-cs"/>
              </a:defRPr>
            </a:pPr>
            <a:endParaRPr lang="de-DE"/>
          </a:p>
        </c:txPr>
        <c:crossAx val="1466769024"/>
        <c:crosses val="autoZero"/>
        <c:auto val="1"/>
        <c:lblAlgn val="ctr"/>
        <c:lblOffset val="100"/>
        <c:noMultiLvlLbl val="0"/>
      </c:catAx>
      <c:valAx>
        <c:axId val="1466769024"/>
        <c:scaling>
          <c:orientation val="minMax"/>
        </c:scaling>
        <c:delete val="1"/>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crossAx val="1466034160"/>
        <c:crosses val="autoZero"/>
        <c:crossBetween val="between"/>
        <c:minorUnit val="1"/>
      </c:valAx>
      <c:spPr>
        <a:pattFill prst="ltDnDiag">
          <a:fgClr>
            <a:schemeClr val="dk1">
              <a:lumMod val="15000"/>
              <a:lumOff val="85000"/>
            </a:schemeClr>
          </a:fgClr>
          <a:bgClr>
            <a:schemeClr val="lt1"/>
          </a:bgClr>
        </a:patt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r>
              <a:rPr lang="en-US" sz="1200"/>
              <a:t>Economic Subdimensions</a:t>
            </a:r>
          </a:p>
        </c:rich>
      </c:tx>
      <c:overlay val="0"/>
      <c:spPr>
        <a:noFill/>
        <a:ln>
          <a:noFill/>
        </a:ln>
        <a:effectLst/>
      </c:spPr>
      <c:txPr>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endParaRPr lang="de-DE"/>
        </a:p>
      </c:txPr>
    </c:title>
    <c:autoTitleDeleted val="0"/>
    <c:plotArea>
      <c:layout>
        <c:manualLayout>
          <c:layoutTarget val="inner"/>
          <c:xMode val="edge"/>
          <c:yMode val="edge"/>
          <c:x val="0.46824730824730826"/>
          <c:y val="0.23513407162951272"/>
          <c:w val="0.48495060495060494"/>
          <c:h val="0.60473979190309102"/>
        </c:manualLayout>
      </c:layout>
      <c:barChart>
        <c:barDir val="bar"/>
        <c:grouping val="clustered"/>
        <c:varyColors val="0"/>
        <c:ser>
          <c:idx val="0"/>
          <c:order val="0"/>
          <c:tx>
            <c:strRef>
              <c:f>'5. Review'!$O$10</c:f>
              <c:strCache>
                <c:ptCount val="1"/>
                <c:pt idx="0">
                  <c:v>Economic Subdimensions</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de-DE"/>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dk1">
                          <a:lumMod val="35000"/>
                          <a:lumOff val="65000"/>
                        </a:schemeClr>
                      </a:solidFill>
                      <a:round/>
                    </a:ln>
                    <a:effectLst/>
                  </c:spPr>
                </c15:leaderLines>
              </c:ext>
            </c:extLst>
          </c:dLbls>
          <c:cat>
            <c:strRef>
              <c:f>'5. Review'!$N$11:$N$14</c:f>
              <c:strCache>
                <c:ptCount val="4"/>
                <c:pt idx="0">
                  <c:v>Other</c:v>
                </c:pt>
                <c:pt idx="1">
                  <c:v>Investments</c:v>
                </c:pt>
                <c:pt idx="2">
                  <c:v>Profit</c:v>
                </c:pt>
                <c:pt idx="3">
                  <c:v>Cost</c:v>
                </c:pt>
              </c:strCache>
            </c:strRef>
          </c:cat>
          <c:val>
            <c:numRef>
              <c:f>'5. Review'!$O$11:$O$14</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0-3E5D-4AA4-B56F-7290CF3DD20A}"/>
            </c:ext>
          </c:extLst>
        </c:ser>
        <c:dLbls>
          <c:dLblPos val="outEnd"/>
          <c:showLegendKey val="0"/>
          <c:showVal val="1"/>
          <c:showCatName val="0"/>
          <c:showSerName val="0"/>
          <c:showPercent val="0"/>
          <c:showBubbleSize val="0"/>
        </c:dLbls>
        <c:gapWidth val="247"/>
        <c:axId val="1462708240"/>
        <c:axId val="1466042960"/>
      </c:barChart>
      <c:catAx>
        <c:axId val="1462708240"/>
        <c:scaling>
          <c:orientation val="minMax"/>
        </c:scaling>
        <c:delete val="0"/>
        <c:axPos val="l"/>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dk1">
                    <a:lumMod val="65000"/>
                    <a:lumOff val="35000"/>
                  </a:schemeClr>
                </a:solidFill>
                <a:latin typeface="+mn-lt"/>
                <a:ea typeface="+mn-ea"/>
                <a:cs typeface="+mn-cs"/>
              </a:defRPr>
            </a:pPr>
            <a:endParaRPr lang="de-DE"/>
          </a:p>
        </c:txPr>
        <c:crossAx val="1466042960"/>
        <c:crosses val="autoZero"/>
        <c:auto val="1"/>
        <c:lblAlgn val="ctr"/>
        <c:lblOffset val="100"/>
        <c:noMultiLvlLbl val="0"/>
      </c:catAx>
      <c:valAx>
        <c:axId val="1466042960"/>
        <c:scaling>
          <c:orientation val="minMax"/>
        </c:scaling>
        <c:delete val="1"/>
        <c:axPos val="b"/>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crossAx val="1462708240"/>
        <c:crosses val="autoZero"/>
        <c:crossBetween val="between"/>
        <c:majorUnit val="2"/>
        <c:minorUnit val="1"/>
      </c:valAx>
      <c:spPr>
        <a:pattFill prst="ltDnDiag">
          <a:fgClr>
            <a:schemeClr val="dk1">
              <a:lumMod val="15000"/>
              <a:lumOff val="85000"/>
            </a:schemeClr>
          </a:fgClr>
          <a:bgClr>
            <a:schemeClr val="lt1"/>
          </a:bgClr>
        </a:patt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r>
              <a:rPr lang="en-US" sz="1200"/>
              <a:t>Environmental Subdimensions</a:t>
            </a:r>
          </a:p>
        </c:rich>
      </c:tx>
      <c:overlay val="0"/>
      <c:spPr>
        <a:noFill/>
        <a:ln>
          <a:noFill/>
        </a:ln>
        <a:effectLst/>
      </c:spPr>
      <c:txPr>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endParaRPr lang="de-DE"/>
        </a:p>
      </c:txPr>
    </c:title>
    <c:autoTitleDeleted val="0"/>
    <c:plotArea>
      <c:layout>
        <c:manualLayout>
          <c:layoutTarget val="inner"/>
          <c:xMode val="edge"/>
          <c:yMode val="edge"/>
          <c:x val="0.47024031524031523"/>
          <c:y val="0.20310507685229523"/>
          <c:w val="0.50057886557886555"/>
          <c:h val="0.65858050946921687"/>
        </c:manualLayout>
      </c:layout>
      <c:barChart>
        <c:barDir val="bar"/>
        <c:grouping val="clustered"/>
        <c:varyColors val="0"/>
        <c:ser>
          <c:idx val="0"/>
          <c:order val="0"/>
          <c:tx>
            <c:strRef>
              <c:f>'5. Review'!$O$17</c:f>
              <c:strCache>
                <c:ptCount val="1"/>
                <c:pt idx="0">
                  <c:v>Environmental Subdimensions</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de-DE"/>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dk1">
                          <a:lumMod val="35000"/>
                          <a:lumOff val="65000"/>
                        </a:schemeClr>
                      </a:solidFill>
                      <a:round/>
                    </a:ln>
                    <a:effectLst/>
                  </c:spPr>
                </c15:leaderLines>
              </c:ext>
            </c:extLst>
          </c:dLbls>
          <c:cat>
            <c:strRef>
              <c:f>'5. Review'!$N$18:$N$23</c:f>
              <c:strCache>
                <c:ptCount val="6"/>
                <c:pt idx="0">
                  <c:v>Other</c:v>
                </c:pt>
                <c:pt idx="1">
                  <c:v>Resource Use &amp; Circular Economy</c:v>
                </c:pt>
                <c:pt idx="2">
                  <c:v>Biodiversity &amp; Ecosystems</c:v>
                </c:pt>
                <c:pt idx="3">
                  <c:v>Water &amp; Marine Resources</c:v>
                </c:pt>
                <c:pt idx="4">
                  <c:v>Pollution</c:v>
                </c:pt>
                <c:pt idx="5">
                  <c:v>Climate Change</c:v>
                </c:pt>
              </c:strCache>
            </c:strRef>
          </c:cat>
          <c:val>
            <c:numRef>
              <c:f>'5. Review'!$O$18:$O$23</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E5B3-49B3-82D1-02887554F883}"/>
            </c:ext>
          </c:extLst>
        </c:ser>
        <c:dLbls>
          <c:dLblPos val="outEnd"/>
          <c:showLegendKey val="0"/>
          <c:showVal val="1"/>
          <c:showCatName val="0"/>
          <c:showSerName val="0"/>
          <c:showPercent val="0"/>
          <c:showBubbleSize val="0"/>
        </c:dLbls>
        <c:gapWidth val="247"/>
        <c:axId val="1160200223"/>
        <c:axId val="1306455455"/>
      </c:barChart>
      <c:catAx>
        <c:axId val="1160200223"/>
        <c:scaling>
          <c:orientation val="minMax"/>
        </c:scaling>
        <c:delete val="0"/>
        <c:axPos val="l"/>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dk1">
                    <a:lumMod val="65000"/>
                    <a:lumOff val="35000"/>
                  </a:schemeClr>
                </a:solidFill>
                <a:latin typeface="+mn-lt"/>
                <a:ea typeface="+mn-ea"/>
                <a:cs typeface="+mn-cs"/>
              </a:defRPr>
            </a:pPr>
            <a:endParaRPr lang="de-DE"/>
          </a:p>
        </c:txPr>
        <c:crossAx val="1306455455"/>
        <c:crosses val="autoZero"/>
        <c:auto val="1"/>
        <c:lblAlgn val="ctr"/>
        <c:lblOffset val="100"/>
        <c:noMultiLvlLbl val="0"/>
      </c:catAx>
      <c:valAx>
        <c:axId val="1306455455"/>
        <c:scaling>
          <c:orientation val="minMax"/>
        </c:scaling>
        <c:delete val="1"/>
        <c:axPos val="b"/>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crossAx val="1160200223"/>
        <c:crosses val="autoZero"/>
        <c:crossBetween val="between"/>
      </c:valAx>
      <c:spPr>
        <a:pattFill prst="ltDnDiag">
          <a:fgClr>
            <a:schemeClr val="dk1">
              <a:lumMod val="15000"/>
              <a:lumOff val="85000"/>
            </a:schemeClr>
          </a:fgClr>
          <a:bgClr>
            <a:schemeClr val="lt1"/>
          </a:bgClr>
        </a:patt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dk1">
          <a:lumMod val="15000"/>
          <a:lumOff val="85000"/>
        </a:schemeClr>
      </a:solidFill>
      <a:round/>
    </a:ln>
    <a:effectLst/>
  </c:spPr>
  <c:txPr>
    <a:bodyPr rot="0" vert="horz"/>
    <a:lstStyle/>
    <a:p>
      <a:pPr>
        <a:defRPr/>
      </a:pPr>
      <a:endParaRPr lang="de-DE"/>
    </a:p>
  </c:txPr>
  <c:printSettings>
    <c:headerFooter/>
    <c:pageMargins b="0.78740157499999996" l="0.7" r="0.7" t="0.78740157499999996"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r>
              <a:rPr lang="en-US" sz="1200"/>
              <a:t>Categories</a:t>
            </a:r>
            <a:endParaRPr lang="en-US"/>
          </a:p>
        </c:rich>
      </c:tx>
      <c:overlay val="0"/>
      <c:spPr>
        <a:noFill/>
        <a:ln>
          <a:noFill/>
        </a:ln>
        <a:effectLst/>
      </c:spPr>
      <c:txPr>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endParaRPr lang="de-DE"/>
        </a:p>
      </c:txPr>
    </c:title>
    <c:autoTitleDeleted val="0"/>
    <c:plotArea>
      <c:layout>
        <c:manualLayout>
          <c:layoutTarget val="inner"/>
          <c:xMode val="edge"/>
          <c:yMode val="edge"/>
          <c:x val="0.43542415222779979"/>
          <c:y val="0.26120799323290972"/>
          <c:w val="0.52594931546429946"/>
          <c:h val="0.65444488788233179"/>
        </c:manualLayout>
      </c:layout>
      <c:barChart>
        <c:barDir val="bar"/>
        <c:grouping val="clustered"/>
        <c:varyColors val="0"/>
        <c:ser>
          <c:idx val="0"/>
          <c:order val="0"/>
          <c:tx>
            <c:strRef>
              <c:f>'5. Review'!$R$5</c:f>
              <c:strCache>
                <c:ptCount val="1"/>
                <c:pt idx="0">
                  <c:v>Categories</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de-DE"/>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dk1">
                          <a:lumMod val="35000"/>
                          <a:lumOff val="65000"/>
                        </a:schemeClr>
                      </a:solidFill>
                      <a:round/>
                    </a:ln>
                    <a:effectLst/>
                  </c:spPr>
                </c15:leaderLines>
              </c:ext>
            </c:extLst>
          </c:dLbls>
          <c:cat>
            <c:strRef>
              <c:f>'5. Review'!$Q$6:$Q$10</c:f>
              <c:strCache>
                <c:ptCount val="5"/>
                <c:pt idx="0">
                  <c:v>Supply &amp; Delivery</c:v>
                </c:pt>
                <c:pt idx="1">
                  <c:v>Output</c:v>
                </c:pt>
                <c:pt idx="2">
                  <c:v>Operational processes</c:v>
                </c:pt>
                <c:pt idx="3">
                  <c:v>Management processes</c:v>
                </c:pt>
                <c:pt idx="4">
                  <c:v>Input</c:v>
                </c:pt>
              </c:strCache>
            </c:strRef>
          </c:cat>
          <c:val>
            <c:numRef>
              <c:f>'5. Review'!$R$6:$R$10</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0-4BA0-460D-B8EE-29790DBFB29B}"/>
            </c:ext>
          </c:extLst>
        </c:ser>
        <c:dLbls>
          <c:dLblPos val="outEnd"/>
          <c:showLegendKey val="0"/>
          <c:showVal val="1"/>
          <c:showCatName val="0"/>
          <c:showSerName val="0"/>
          <c:showPercent val="0"/>
          <c:showBubbleSize val="0"/>
        </c:dLbls>
        <c:gapWidth val="247"/>
        <c:axId val="1471237056"/>
        <c:axId val="1496746271"/>
      </c:barChart>
      <c:catAx>
        <c:axId val="1471237056"/>
        <c:scaling>
          <c:orientation val="minMax"/>
        </c:scaling>
        <c:delete val="0"/>
        <c:axPos val="l"/>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dk1">
                    <a:lumMod val="65000"/>
                    <a:lumOff val="35000"/>
                  </a:schemeClr>
                </a:solidFill>
                <a:latin typeface="+mn-lt"/>
                <a:ea typeface="+mn-ea"/>
                <a:cs typeface="+mn-cs"/>
              </a:defRPr>
            </a:pPr>
            <a:endParaRPr lang="de-DE"/>
          </a:p>
        </c:txPr>
        <c:crossAx val="1496746271"/>
        <c:crosses val="autoZero"/>
        <c:auto val="1"/>
        <c:lblAlgn val="ctr"/>
        <c:lblOffset val="100"/>
        <c:noMultiLvlLbl val="0"/>
      </c:catAx>
      <c:valAx>
        <c:axId val="1496746271"/>
        <c:scaling>
          <c:orientation val="minMax"/>
        </c:scaling>
        <c:delete val="1"/>
        <c:axPos val="b"/>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crossAx val="1471237056"/>
        <c:crosses val="autoZero"/>
        <c:crossBetween val="between"/>
      </c:valAx>
      <c:spPr>
        <a:pattFill prst="ltDnDiag">
          <a:fgClr>
            <a:schemeClr val="dk1">
              <a:lumMod val="15000"/>
              <a:lumOff val="85000"/>
            </a:schemeClr>
          </a:fgClr>
          <a:bgClr>
            <a:schemeClr val="lt1"/>
          </a:bgClr>
        </a:patt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r>
              <a:rPr lang="en-US" sz="1200"/>
              <a:t>Subcategories</a:t>
            </a:r>
            <a:endParaRPr lang="en-US"/>
          </a:p>
        </c:rich>
      </c:tx>
      <c:overlay val="0"/>
      <c:spPr>
        <a:noFill/>
        <a:ln>
          <a:noFill/>
        </a:ln>
        <a:effectLst/>
      </c:spPr>
      <c:txPr>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endParaRPr lang="de-DE"/>
        </a:p>
      </c:txPr>
    </c:title>
    <c:autoTitleDeleted val="0"/>
    <c:plotArea>
      <c:layout>
        <c:manualLayout>
          <c:layoutTarget val="inner"/>
          <c:xMode val="edge"/>
          <c:yMode val="edge"/>
          <c:x val="0.42764656931703354"/>
          <c:y val="0.1260161370190207"/>
          <c:w val="0.53391001213017808"/>
          <c:h val="0.83329177711106583"/>
        </c:manualLayout>
      </c:layout>
      <c:barChart>
        <c:barDir val="bar"/>
        <c:grouping val="clustered"/>
        <c:varyColors val="0"/>
        <c:ser>
          <c:idx val="0"/>
          <c:order val="0"/>
          <c:tx>
            <c:strRef>
              <c:f>'5. Review'!$R$13</c:f>
              <c:strCache>
                <c:ptCount val="1"/>
                <c:pt idx="0">
                  <c:v>Subcategories</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de-DE"/>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dk1">
                          <a:lumMod val="35000"/>
                          <a:lumOff val="65000"/>
                        </a:schemeClr>
                      </a:solidFill>
                      <a:round/>
                    </a:ln>
                    <a:effectLst/>
                  </c:spPr>
                </c15:leaderLines>
              </c:ext>
            </c:extLst>
          </c:dLbls>
          <c:cat>
            <c:strRef>
              <c:f>'5. Review'!$Q$14:$Q$30</c:f>
              <c:strCache>
                <c:ptCount val="17"/>
                <c:pt idx="0">
                  <c:v>Delivery</c:v>
                </c:pt>
                <c:pt idx="1">
                  <c:v>Supply</c:v>
                </c:pt>
                <c:pt idx="2">
                  <c:v>Emissions</c:v>
                </c:pt>
                <c:pt idx="3">
                  <c:v>Waste</c:v>
                </c:pt>
                <c:pt idx="4">
                  <c:v>Product</c:v>
                </c:pt>
                <c:pt idx="5">
                  <c:v>Design of products</c:v>
                </c:pt>
                <c:pt idx="6">
                  <c:v>Design of processes</c:v>
                </c:pt>
                <c:pt idx="7">
                  <c:v>Operational efficiency</c:v>
                </c:pt>
                <c:pt idx="8">
                  <c:v>Community relations</c:v>
                </c:pt>
                <c:pt idx="9">
                  <c:v>Financial performance</c:v>
                </c:pt>
                <c:pt idx="10">
                  <c:v>Regulatory compliance</c:v>
                </c:pt>
                <c:pt idx="11">
                  <c:v>Policies and programs</c:v>
                </c:pt>
                <c:pt idx="12">
                  <c:v>Labor</c:v>
                </c:pt>
                <c:pt idx="13">
                  <c:v>Facilities and equipment</c:v>
                </c:pt>
                <c:pt idx="14">
                  <c:v>Energy</c:v>
                </c:pt>
                <c:pt idx="15">
                  <c:v>Water</c:v>
                </c:pt>
                <c:pt idx="16">
                  <c:v>Material</c:v>
                </c:pt>
              </c:strCache>
            </c:strRef>
          </c:cat>
          <c:val>
            <c:numRef>
              <c:f>'5. Review'!$R$14:$R$30</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extLst>
            <c:ext xmlns:c16="http://schemas.microsoft.com/office/drawing/2014/chart" uri="{C3380CC4-5D6E-409C-BE32-E72D297353CC}">
              <c16:uniqueId val="{00000000-F5F5-4729-BBC9-CB1E6DC7AD11}"/>
            </c:ext>
          </c:extLst>
        </c:ser>
        <c:dLbls>
          <c:dLblPos val="outEnd"/>
          <c:showLegendKey val="0"/>
          <c:showVal val="1"/>
          <c:showCatName val="0"/>
          <c:showSerName val="0"/>
          <c:showPercent val="0"/>
          <c:showBubbleSize val="0"/>
        </c:dLbls>
        <c:gapWidth val="247"/>
        <c:axId val="1471230336"/>
        <c:axId val="1496753215"/>
      </c:barChart>
      <c:catAx>
        <c:axId val="1471230336"/>
        <c:scaling>
          <c:orientation val="minMax"/>
        </c:scaling>
        <c:delete val="0"/>
        <c:axPos val="l"/>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dk1">
                    <a:lumMod val="65000"/>
                    <a:lumOff val="35000"/>
                  </a:schemeClr>
                </a:solidFill>
                <a:latin typeface="+mn-lt"/>
                <a:ea typeface="+mn-ea"/>
                <a:cs typeface="+mn-cs"/>
              </a:defRPr>
            </a:pPr>
            <a:endParaRPr lang="de-DE"/>
          </a:p>
        </c:txPr>
        <c:crossAx val="1496753215"/>
        <c:crosses val="autoZero"/>
        <c:auto val="1"/>
        <c:lblAlgn val="ctr"/>
        <c:lblOffset val="100"/>
        <c:noMultiLvlLbl val="0"/>
      </c:catAx>
      <c:valAx>
        <c:axId val="1496753215"/>
        <c:scaling>
          <c:orientation val="minMax"/>
        </c:scaling>
        <c:delete val="1"/>
        <c:axPos val="b"/>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crossAx val="1471230336"/>
        <c:crosses val="autoZero"/>
        <c:crossBetween val="between"/>
      </c:valAx>
      <c:spPr>
        <a:pattFill prst="ltDnDiag">
          <a:fgClr>
            <a:schemeClr val="dk1">
              <a:lumMod val="15000"/>
              <a:lumOff val="85000"/>
            </a:schemeClr>
          </a:fgClr>
          <a:bgClr>
            <a:schemeClr val="lt1"/>
          </a:bgClr>
        </a:patt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2.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3.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4.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5.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50800</xdr:colOff>
          <xdr:row>27</xdr:row>
          <xdr:rowOff>44450</xdr:rowOff>
        </xdr:from>
        <xdr:to>
          <xdr:col>1</xdr:col>
          <xdr:colOff>2171700</xdr:colOff>
          <xdr:row>27</xdr:row>
          <xdr:rowOff>469900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100" b="0" i="0" u="none" strike="noStrike" baseline="0">
                  <a:solidFill>
                    <a:srgbClr val="000000"/>
                  </a:solidFill>
                  <a:latin typeface="Calibri"/>
                  <a:cs typeface="Calibri"/>
                </a:rPr>
                <a:t>Save current selection</a:t>
              </a:r>
            </a:p>
          </xdr:txBody>
        </xdr:sp>
        <xdr:clientData fPrintsWithSheet="0"/>
      </xdr:twoCellAnchor>
    </mc:Choice>
    <mc:Fallback/>
  </mc:AlternateContent>
  <xdr:twoCellAnchor editAs="oneCell">
    <xdr:from>
      <xdr:col>5</xdr:col>
      <xdr:colOff>73553</xdr:colOff>
      <xdr:row>1</xdr:row>
      <xdr:rowOff>104952</xdr:rowOff>
    </xdr:from>
    <xdr:to>
      <xdr:col>11</xdr:col>
      <xdr:colOff>40040</xdr:colOff>
      <xdr:row>17</xdr:row>
      <xdr:rowOff>292189</xdr:rowOff>
    </xdr:to>
    <xdr:pic>
      <xdr:nvPicPr>
        <xdr:cNvPr id="9" name="Pictur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1"/>
        <a:stretch>
          <a:fillRect/>
        </a:stretch>
      </xdr:blipFill>
      <xdr:spPr>
        <a:xfrm>
          <a:off x="8653109" y="288396"/>
          <a:ext cx="4538487" cy="368679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959557</xdr:colOff>
      <xdr:row>2</xdr:row>
      <xdr:rowOff>123876</xdr:rowOff>
    </xdr:from>
    <xdr:to>
      <xdr:col>8</xdr:col>
      <xdr:colOff>1080911</xdr:colOff>
      <xdr:row>8</xdr:row>
      <xdr:rowOff>172156</xdr:rowOff>
    </xdr:to>
    <xdr:graphicFrame macro="">
      <xdr:nvGraphicFramePr>
        <xdr:cNvPr id="2" name="Diagramm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945445</xdr:colOff>
      <xdr:row>9</xdr:row>
      <xdr:rowOff>69247</xdr:rowOff>
    </xdr:from>
    <xdr:to>
      <xdr:col>8</xdr:col>
      <xdr:colOff>1076098</xdr:colOff>
      <xdr:row>19</xdr:row>
      <xdr:rowOff>67659</xdr:rowOff>
    </xdr:to>
    <xdr:graphicFrame macro="">
      <xdr:nvGraphicFramePr>
        <xdr:cNvPr id="3" name="Diagramm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952500</xdr:colOff>
      <xdr:row>19</xdr:row>
      <xdr:rowOff>172875</xdr:rowOff>
    </xdr:from>
    <xdr:to>
      <xdr:col>8</xdr:col>
      <xdr:colOff>1085098</xdr:colOff>
      <xdr:row>31</xdr:row>
      <xdr:rowOff>93840</xdr:rowOff>
    </xdr:to>
    <xdr:graphicFrame macro="">
      <xdr:nvGraphicFramePr>
        <xdr:cNvPr id="4" name="Diagramm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1181094</xdr:colOff>
      <xdr:row>2</xdr:row>
      <xdr:rowOff>104816</xdr:rowOff>
    </xdr:from>
    <xdr:to>
      <xdr:col>11</xdr:col>
      <xdr:colOff>282223</xdr:colOff>
      <xdr:row>11</xdr:row>
      <xdr:rowOff>141112</xdr:rowOff>
    </xdr:to>
    <xdr:graphicFrame macro="">
      <xdr:nvGraphicFramePr>
        <xdr:cNvPr id="5" name="Diagramm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1177975</xdr:colOff>
      <xdr:row>12</xdr:row>
      <xdr:rowOff>42334</xdr:rowOff>
    </xdr:from>
    <xdr:to>
      <xdr:col>11</xdr:col>
      <xdr:colOff>289278</xdr:colOff>
      <xdr:row>31</xdr:row>
      <xdr:rowOff>72672</xdr:rowOff>
    </xdr:to>
    <xdr:graphicFrame macro="">
      <xdr:nvGraphicFramePr>
        <xdr:cNvPr id="6" name="Diagramm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xdr:from>
          <xdr:col>0</xdr:col>
          <xdr:colOff>101600</xdr:colOff>
          <xdr:row>2</xdr:row>
          <xdr:rowOff>120650</xdr:rowOff>
        </xdr:from>
        <xdr:to>
          <xdr:col>3</xdr:col>
          <xdr:colOff>704850</xdr:colOff>
          <xdr:row>5</xdr:row>
          <xdr:rowOff>171450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300-00000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100" b="0" i="0" u="none" strike="noStrike" baseline="0">
                  <a:solidFill>
                    <a:srgbClr val="000000"/>
                  </a:solidFill>
                  <a:latin typeface="Calibri"/>
                  <a:cs typeface="Calibri"/>
                </a:rPr>
                <a:t>Click here </a:t>
              </a:r>
            </a:p>
            <a:p>
              <a:pPr algn="ctr" rtl="0">
                <a:defRPr sz="1000"/>
              </a:pPr>
              <a:r>
                <a:rPr lang="de-DE" sz="1100" b="0" i="0" u="none" strike="noStrike" baseline="0">
                  <a:solidFill>
                    <a:srgbClr val="000000"/>
                  </a:solidFill>
                  <a:latin typeface="Calibri"/>
                  <a:cs typeface="Calibri"/>
                </a:rPr>
                <a:t>to run the analysis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57150</xdr:colOff>
          <xdr:row>0</xdr:row>
          <xdr:rowOff>19050</xdr:rowOff>
        </xdr:from>
        <xdr:to>
          <xdr:col>7</xdr:col>
          <xdr:colOff>1003300</xdr:colOff>
          <xdr:row>1</xdr:row>
          <xdr:rowOff>139700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400-000001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100" b="0" i="0" u="none" strike="noStrike" baseline="0">
                  <a:solidFill>
                    <a:srgbClr val="000000"/>
                  </a:solidFill>
                  <a:latin typeface="Calibri"/>
                  <a:cs typeface="Calibri"/>
                </a:rPr>
                <a:t>Click here for your final selection</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95D22E9-DEB3-4A67-94F1-16CA7AF27A63}" name="Tabelle1" displayName="Tabelle1" ref="A15:A17" totalsRowShown="0">
  <autoFilter ref="A15:A17" xr:uid="{895D22E9-DEB3-4A67-94F1-16CA7AF27A63}"/>
  <tableColumns count="1">
    <tableColumn id="1" xr3:uid="{542939BE-9DA1-4037-B568-5A4E314AE9FC}" name="Select"/>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ABDF1D0A-F942-4332-8890-CD5627745118}" name="Tabelle2" displayName="Tabelle2" ref="A19:A36" totalsRowShown="0" headerRowDxfId="1">
  <autoFilter ref="A19:A36" xr:uid="{ABDF1D0A-F942-4332-8890-CD5627745118}"/>
  <tableColumns count="1">
    <tableColumn id="1" xr3:uid="{6CACF5B3-5492-46DF-9604-5702D2AAA5CF}" name="Subcategory"/>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07845DE-3467-4E2C-9793-F53ACA5DDB36}" name="Tabelle3" displayName="Tabelle3" ref="A39:A44" totalsRowShown="0" headerRowDxfId="0">
  <autoFilter ref="A39:A44" xr:uid="{207845DE-3467-4E2C-9793-F53ACA5DDB36}"/>
  <tableColumns count="1">
    <tableColumn id="1" xr3:uid="{5F3EC44C-A2C5-41F9-8381-8353FC03185B}" name="Category"/>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365022C-35BF-4688-81ED-FBAF92BDA38B}" name="Tabelle4" displayName="Tabelle4" ref="A46:A48" totalsRowShown="0">
  <autoFilter ref="A46:A48" xr:uid="{2365022C-35BF-4688-81ED-FBAF92BDA38B}"/>
  <tableColumns count="1">
    <tableColumn id="1" xr3:uid="{8E6580FB-FE8C-4B41-BDB0-21D8365B85F8}" name="Dimension"/>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1C90D97-B7DC-4EC6-8A89-50D60F5FF9B1}" name="Tabelle5" displayName="Tabelle5" ref="A50:A60" totalsRowShown="0">
  <autoFilter ref="A50:A60" xr:uid="{61C90D97-B7DC-4EC6-8A89-50D60F5FF9B1}"/>
  <tableColumns count="1">
    <tableColumn id="1" xr3:uid="{AD14D775-E4BE-4D28-B042-B87CFF7AFCE6}" name="Subdimensions"/>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8B251F1-9099-4F20-B65A-5026E3B69C4A}" name="Tabelle57" displayName="Tabelle57" ref="A62:A64" totalsRowShown="0">
  <autoFilter ref="A62:A64" xr:uid="{F8B251F1-9099-4F20-B65A-5026E3B69C4A}"/>
  <tableColumns count="1">
    <tableColumn id="1" xr3:uid="{54D42AE2-B005-43A9-99E2-4B15D7282557}" name="Measurement type"/>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 Id="rId6" Type="http://schemas.openxmlformats.org/officeDocument/2006/relationships/table" Target="../tables/table6.xml"/><Relationship Id="rId5" Type="http://schemas.openxmlformats.org/officeDocument/2006/relationships/table" Target="../tables/table5.xml"/><Relationship Id="rId4"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0AF70F-EC2A-417C-97DC-46E2E2D1C683}">
  <sheetPr codeName="Tabelle1"/>
  <dimension ref="A1:Z526"/>
  <sheetViews>
    <sheetView tabSelected="1" zoomScale="90" zoomScaleNormal="90" workbookViewId="0"/>
  </sheetViews>
  <sheetFormatPr defaultColWidth="10.90625" defaultRowHeight="14.5" x14ac:dyDescent="0.35"/>
  <cols>
    <col min="1" max="1" width="40.08984375" customWidth="1"/>
    <col min="2" max="2" width="31.36328125" customWidth="1"/>
    <col min="3" max="4" width="20.08984375" customWidth="1"/>
    <col min="5" max="5" width="11.08984375" customWidth="1"/>
  </cols>
  <sheetData>
    <row r="1" spans="1:9" x14ac:dyDescent="0.35">
      <c r="I1" s="22"/>
    </row>
    <row r="2" spans="1:9" ht="15.5" x14ac:dyDescent="0.35">
      <c r="A2" s="36" t="s">
        <v>2160</v>
      </c>
      <c r="I2" s="9"/>
    </row>
    <row r="3" spans="1:9" x14ac:dyDescent="0.35">
      <c r="A3" s="5"/>
      <c r="I3" s="9"/>
    </row>
    <row r="4" spans="1:9" x14ac:dyDescent="0.35">
      <c r="A4" t="s">
        <v>2175</v>
      </c>
      <c r="I4" s="9"/>
    </row>
    <row r="5" spans="1:9" x14ac:dyDescent="0.35">
      <c r="A5" t="s">
        <v>1882</v>
      </c>
      <c r="I5" s="9"/>
    </row>
    <row r="6" spans="1:9" x14ac:dyDescent="0.35">
      <c r="A6" t="s">
        <v>2153</v>
      </c>
      <c r="I6" s="9"/>
    </row>
    <row r="7" spans="1:9" x14ac:dyDescent="0.35">
      <c r="A7" s="4"/>
      <c r="I7" s="9"/>
    </row>
    <row r="8" spans="1:9" x14ac:dyDescent="0.35">
      <c r="A8" s="4" t="s">
        <v>2155</v>
      </c>
      <c r="I8" s="9"/>
    </row>
    <row r="9" spans="1:9" ht="29" x14ac:dyDescent="0.35">
      <c r="B9" s="24" t="s">
        <v>1835</v>
      </c>
      <c r="I9" s="9"/>
    </row>
    <row r="10" spans="1:9" x14ac:dyDescent="0.35">
      <c r="A10" t="s">
        <v>1889</v>
      </c>
      <c r="B10" s="33"/>
      <c r="C10" s="3"/>
      <c r="I10" s="9"/>
    </row>
    <row r="11" spans="1:9" x14ac:dyDescent="0.35">
      <c r="A11" s="7" t="s">
        <v>1883</v>
      </c>
      <c r="B11" s="33"/>
      <c r="I11" s="9"/>
    </row>
    <row r="12" spans="1:9" x14ac:dyDescent="0.35">
      <c r="B12" s="33"/>
      <c r="I12" s="9"/>
    </row>
    <row r="13" spans="1:9" x14ac:dyDescent="0.35">
      <c r="C13" s="3"/>
      <c r="I13" s="9"/>
    </row>
    <row r="14" spans="1:9" x14ac:dyDescent="0.35">
      <c r="I14" s="9"/>
    </row>
    <row r="15" spans="1:9" x14ac:dyDescent="0.35">
      <c r="A15" s="4" t="s">
        <v>2156</v>
      </c>
      <c r="B15" s="24" t="s">
        <v>5</v>
      </c>
      <c r="C15" s="24" t="s">
        <v>1851</v>
      </c>
      <c r="D15" s="24" t="s">
        <v>1819</v>
      </c>
      <c r="I15" s="9"/>
    </row>
    <row r="16" spans="1:9" ht="29" customHeight="1" x14ac:dyDescent="0.35">
      <c r="A16" t="s">
        <v>1890</v>
      </c>
      <c r="B16" s="34"/>
      <c r="C16" s="33"/>
      <c r="D16" s="33"/>
      <c r="I16" s="9"/>
    </row>
    <row r="17" spans="1:26" ht="29" customHeight="1" x14ac:dyDescent="0.35">
      <c r="A17" s="7" t="s">
        <v>1883</v>
      </c>
      <c r="B17" s="34"/>
      <c r="C17" s="33"/>
      <c r="D17" s="33"/>
      <c r="I17" s="9"/>
    </row>
    <row r="18" spans="1:26" ht="29" x14ac:dyDescent="0.35">
      <c r="A18" s="29" t="s">
        <v>2154</v>
      </c>
      <c r="B18" s="34"/>
      <c r="C18" s="33"/>
      <c r="D18" s="33"/>
      <c r="I18" s="9"/>
    </row>
    <row r="19" spans="1:26" x14ac:dyDescent="0.35">
      <c r="A19" s="4"/>
      <c r="B19" s="22"/>
      <c r="C19" s="22"/>
      <c r="D19" s="22"/>
      <c r="E19" s="22"/>
      <c r="I19" s="9"/>
    </row>
    <row r="20" spans="1:26" x14ac:dyDescent="0.35">
      <c r="I20" s="9"/>
    </row>
    <row r="21" spans="1:26" x14ac:dyDescent="0.35">
      <c r="A21" s="4" t="s">
        <v>1884</v>
      </c>
      <c r="I21" s="9"/>
    </row>
    <row r="22" spans="1:26" x14ac:dyDescent="0.35">
      <c r="B22" s="6"/>
      <c r="I22" s="9"/>
    </row>
    <row r="23" spans="1:26" x14ac:dyDescent="0.35">
      <c r="A23" s="4" t="s">
        <v>1885</v>
      </c>
      <c r="I23" s="9"/>
    </row>
    <row r="24" spans="1:26" x14ac:dyDescent="0.35">
      <c r="B24" s="6"/>
      <c r="I24" s="9"/>
    </row>
    <row r="25" spans="1:26" x14ac:dyDescent="0.35">
      <c r="A25" s="4" t="s">
        <v>1887</v>
      </c>
      <c r="B25" s="6"/>
      <c r="I25" s="9"/>
      <c r="Z25" t="s">
        <v>8</v>
      </c>
    </row>
    <row r="26" spans="1:26" x14ac:dyDescent="0.35">
      <c r="A26" t="s">
        <v>2152</v>
      </c>
      <c r="B26" s="6"/>
      <c r="I26" s="9"/>
    </row>
    <row r="27" spans="1:26" x14ac:dyDescent="0.35">
      <c r="A27" t="s">
        <v>2151</v>
      </c>
      <c r="B27" s="6"/>
      <c r="I27" s="9"/>
    </row>
    <row r="28" spans="1:26" ht="43.5" x14ac:dyDescent="0.35">
      <c r="A28" s="35" t="s">
        <v>2161</v>
      </c>
      <c r="B28" s="6"/>
      <c r="I28" s="9"/>
    </row>
    <row r="29" spans="1:26" x14ac:dyDescent="0.35">
      <c r="B29" s="6"/>
      <c r="I29" s="9"/>
    </row>
    <row r="30" spans="1:26" x14ac:dyDescent="0.35">
      <c r="A30" s="4" t="s">
        <v>1886</v>
      </c>
      <c r="I30" s="9"/>
      <c r="Z30" t="s">
        <v>8</v>
      </c>
    </row>
    <row r="31" spans="1:26" x14ac:dyDescent="0.35">
      <c r="A31" s="4"/>
      <c r="I31" s="9"/>
    </row>
    <row r="32" spans="1:26" x14ac:dyDescent="0.35">
      <c r="I32" s="9"/>
    </row>
    <row r="33" spans="1:9" x14ac:dyDescent="0.35">
      <c r="I33" s="9"/>
    </row>
    <row r="34" spans="1:9" x14ac:dyDescent="0.35">
      <c r="A34" s="4"/>
      <c r="I34" s="9"/>
    </row>
    <row r="35" spans="1:9" x14ac:dyDescent="0.35">
      <c r="I35" s="9"/>
    </row>
    <row r="36" spans="1:9" x14ac:dyDescent="0.35">
      <c r="I36" s="9"/>
    </row>
    <row r="37" spans="1:9" x14ac:dyDescent="0.35">
      <c r="I37" s="9"/>
    </row>
    <row r="38" spans="1:9" x14ac:dyDescent="0.35">
      <c r="I38" s="9"/>
    </row>
    <row r="39" spans="1:9" x14ac:dyDescent="0.35">
      <c r="A39" s="4"/>
      <c r="I39" s="9"/>
    </row>
    <row r="40" spans="1:9" x14ac:dyDescent="0.35">
      <c r="I40" s="9"/>
    </row>
    <row r="41" spans="1:9" x14ac:dyDescent="0.35">
      <c r="I41" s="9"/>
    </row>
    <row r="42" spans="1:9" x14ac:dyDescent="0.35">
      <c r="I42" s="9"/>
    </row>
    <row r="43" spans="1:9" x14ac:dyDescent="0.35">
      <c r="I43" s="9"/>
    </row>
    <row r="44" spans="1:9" x14ac:dyDescent="0.35">
      <c r="I44" s="9"/>
    </row>
    <row r="45" spans="1:9" x14ac:dyDescent="0.35">
      <c r="I45" s="9"/>
    </row>
    <row r="46" spans="1:9" x14ac:dyDescent="0.35">
      <c r="I46" s="9"/>
    </row>
    <row r="47" spans="1:9" x14ac:dyDescent="0.35">
      <c r="I47" s="9"/>
    </row>
    <row r="48" spans="1:9" x14ac:dyDescent="0.35">
      <c r="I48" s="9"/>
    </row>
    <row r="49" spans="9:9" x14ac:dyDescent="0.35">
      <c r="I49" s="9"/>
    </row>
    <row r="50" spans="9:9" x14ac:dyDescent="0.35">
      <c r="I50" s="9"/>
    </row>
    <row r="51" spans="9:9" x14ac:dyDescent="0.35">
      <c r="I51" s="9"/>
    </row>
    <row r="52" spans="9:9" x14ac:dyDescent="0.35">
      <c r="I52" s="9"/>
    </row>
    <row r="53" spans="9:9" x14ac:dyDescent="0.35">
      <c r="I53" s="9"/>
    </row>
    <row r="54" spans="9:9" x14ac:dyDescent="0.35">
      <c r="I54" s="9"/>
    </row>
    <row r="55" spans="9:9" x14ac:dyDescent="0.35">
      <c r="I55" s="9"/>
    </row>
    <row r="56" spans="9:9" x14ac:dyDescent="0.35">
      <c r="I56" s="9"/>
    </row>
    <row r="57" spans="9:9" x14ac:dyDescent="0.35">
      <c r="I57" s="9"/>
    </row>
    <row r="58" spans="9:9" x14ac:dyDescent="0.35">
      <c r="I58" s="9"/>
    </row>
    <row r="59" spans="9:9" x14ac:dyDescent="0.35">
      <c r="I59" s="9"/>
    </row>
    <row r="60" spans="9:9" x14ac:dyDescent="0.35">
      <c r="I60" s="9"/>
    </row>
    <row r="61" spans="9:9" x14ac:dyDescent="0.35">
      <c r="I61" s="9"/>
    </row>
    <row r="62" spans="9:9" x14ac:dyDescent="0.35">
      <c r="I62" s="9"/>
    </row>
    <row r="63" spans="9:9" x14ac:dyDescent="0.35">
      <c r="I63" s="9"/>
    </row>
    <row r="64" spans="9:9" x14ac:dyDescent="0.35">
      <c r="I64" s="9"/>
    </row>
    <row r="65" spans="9:9" x14ac:dyDescent="0.35">
      <c r="I65" s="9"/>
    </row>
    <row r="66" spans="9:9" x14ac:dyDescent="0.35">
      <c r="I66" s="9"/>
    </row>
    <row r="67" spans="9:9" x14ac:dyDescent="0.35">
      <c r="I67" s="9"/>
    </row>
    <row r="68" spans="9:9" x14ac:dyDescent="0.35">
      <c r="I68" s="9"/>
    </row>
    <row r="69" spans="9:9" x14ac:dyDescent="0.35">
      <c r="I69" s="9"/>
    </row>
    <row r="70" spans="9:9" x14ac:dyDescent="0.35">
      <c r="I70" s="9"/>
    </row>
    <row r="71" spans="9:9" x14ac:dyDescent="0.35">
      <c r="I71" s="9"/>
    </row>
    <row r="72" spans="9:9" x14ac:dyDescent="0.35">
      <c r="I72" s="9"/>
    </row>
    <row r="73" spans="9:9" x14ac:dyDescent="0.35">
      <c r="I73" s="9"/>
    </row>
    <row r="74" spans="9:9" x14ac:dyDescent="0.35">
      <c r="I74" s="9"/>
    </row>
    <row r="75" spans="9:9" x14ac:dyDescent="0.35">
      <c r="I75" s="9"/>
    </row>
    <row r="76" spans="9:9" x14ac:dyDescent="0.35">
      <c r="I76" s="9"/>
    </row>
    <row r="77" spans="9:9" x14ac:dyDescent="0.35">
      <c r="I77" s="9"/>
    </row>
    <row r="78" spans="9:9" x14ac:dyDescent="0.35">
      <c r="I78" s="9"/>
    </row>
    <row r="79" spans="9:9" x14ac:dyDescent="0.35">
      <c r="I79" s="9"/>
    </row>
    <row r="80" spans="9:9" x14ac:dyDescent="0.35">
      <c r="I80" s="9"/>
    </row>
    <row r="81" spans="9:9" x14ac:dyDescent="0.35">
      <c r="I81" s="9"/>
    </row>
    <row r="82" spans="9:9" x14ac:dyDescent="0.35">
      <c r="I82" s="9"/>
    </row>
    <row r="83" spans="9:9" x14ac:dyDescent="0.35">
      <c r="I83" s="9"/>
    </row>
    <row r="84" spans="9:9" x14ac:dyDescent="0.35">
      <c r="I84" s="9"/>
    </row>
    <row r="85" spans="9:9" x14ac:dyDescent="0.35">
      <c r="I85" s="9"/>
    </row>
    <row r="86" spans="9:9" x14ac:dyDescent="0.35">
      <c r="I86" s="9"/>
    </row>
    <row r="87" spans="9:9" x14ac:dyDescent="0.35">
      <c r="I87" s="9"/>
    </row>
    <row r="88" spans="9:9" x14ac:dyDescent="0.35">
      <c r="I88" s="9"/>
    </row>
    <row r="89" spans="9:9" x14ac:dyDescent="0.35">
      <c r="I89" s="9"/>
    </row>
    <row r="90" spans="9:9" x14ac:dyDescent="0.35">
      <c r="I90" s="9"/>
    </row>
    <row r="91" spans="9:9" x14ac:dyDescent="0.35">
      <c r="I91" s="9"/>
    </row>
    <row r="92" spans="9:9" x14ac:dyDescent="0.35">
      <c r="I92" s="9"/>
    </row>
    <row r="93" spans="9:9" x14ac:dyDescent="0.35">
      <c r="I93" s="9"/>
    </row>
    <row r="94" spans="9:9" x14ac:dyDescent="0.35">
      <c r="I94" s="9"/>
    </row>
    <row r="95" spans="9:9" x14ac:dyDescent="0.35">
      <c r="I95" s="9"/>
    </row>
    <row r="96" spans="9:9" x14ac:dyDescent="0.35">
      <c r="I96" s="9"/>
    </row>
    <row r="97" spans="9:9" x14ac:dyDescent="0.35">
      <c r="I97" s="9"/>
    </row>
    <row r="98" spans="9:9" x14ac:dyDescent="0.35">
      <c r="I98" s="9"/>
    </row>
    <row r="99" spans="9:9" x14ac:dyDescent="0.35">
      <c r="I99" s="9"/>
    </row>
    <row r="100" spans="9:9" x14ac:dyDescent="0.35">
      <c r="I100" s="9"/>
    </row>
    <row r="101" spans="9:9" x14ac:dyDescent="0.35">
      <c r="I101" s="9"/>
    </row>
    <row r="102" spans="9:9" x14ac:dyDescent="0.35">
      <c r="I102" s="9"/>
    </row>
    <row r="103" spans="9:9" x14ac:dyDescent="0.35">
      <c r="I103" s="9"/>
    </row>
    <row r="104" spans="9:9" x14ac:dyDescent="0.35">
      <c r="I104" s="9"/>
    </row>
    <row r="105" spans="9:9" x14ac:dyDescent="0.35">
      <c r="I105" s="9"/>
    </row>
    <row r="106" spans="9:9" x14ac:dyDescent="0.35">
      <c r="I106" s="9"/>
    </row>
    <row r="107" spans="9:9" x14ac:dyDescent="0.35">
      <c r="I107" s="9"/>
    </row>
    <row r="108" spans="9:9" x14ac:dyDescent="0.35">
      <c r="I108" s="9"/>
    </row>
    <row r="109" spans="9:9" x14ac:dyDescent="0.35">
      <c r="I109" s="9"/>
    </row>
    <row r="110" spans="9:9" x14ac:dyDescent="0.35">
      <c r="I110" s="9"/>
    </row>
    <row r="111" spans="9:9" x14ac:dyDescent="0.35">
      <c r="I111" s="9"/>
    </row>
    <row r="112" spans="9:9" x14ac:dyDescent="0.35">
      <c r="I112" s="9"/>
    </row>
    <row r="113" spans="9:9" x14ac:dyDescent="0.35">
      <c r="I113" s="9"/>
    </row>
    <row r="114" spans="9:9" x14ac:dyDescent="0.35">
      <c r="I114" s="9"/>
    </row>
    <row r="115" spans="9:9" x14ac:dyDescent="0.35">
      <c r="I115" s="9"/>
    </row>
    <row r="116" spans="9:9" x14ac:dyDescent="0.35">
      <c r="I116" s="9"/>
    </row>
    <row r="117" spans="9:9" x14ac:dyDescent="0.35">
      <c r="I117" s="9"/>
    </row>
    <row r="118" spans="9:9" x14ac:dyDescent="0.35">
      <c r="I118" s="9"/>
    </row>
    <row r="119" spans="9:9" x14ac:dyDescent="0.35">
      <c r="I119" s="9"/>
    </row>
    <row r="120" spans="9:9" x14ac:dyDescent="0.35">
      <c r="I120" s="9"/>
    </row>
    <row r="121" spans="9:9" x14ac:dyDescent="0.35">
      <c r="I121" s="9"/>
    </row>
    <row r="122" spans="9:9" x14ac:dyDescent="0.35">
      <c r="I122" s="9"/>
    </row>
    <row r="123" spans="9:9" x14ac:dyDescent="0.35">
      <c r="I123" s="9"/>
    </row>
    <row r="124" spans="9:9" x14ac:dyDescent="0.35">
      <c r="I124" s="9"/>
    </row>
    <row r="125" spans="9:9" x14ac:dyDescent="0.35">
      <c r="I125" s="9"/>
    </row>
    <row r="126" spans="9:9" x14ac:dyDescent="0.35">
      <c r="I126" s="9"/>
    </row>
    <row r="127" spans="9:9" x14ac:dyDescent="0.35">
      <c r="I127" s="9"/>
    </row>
    <row r="128" spans="9:9" x14ac:dyDescent="0.35">
      <c r="I128" s="9"/>
    </row>
    <row r="129" spans="9:9" x14ac:dyDescent="0.35">
      <c r="I129" s="9"/>
    </row>
    <row r="130" spans="9:9" x14ac:dyDescent="0.35">
      <c r="I130" s="9"/>
    </row>
    <row r="131" spans="9:9" x14ac:dyDescent="0.35">
      <c r="I131" s="9"/>
    </row>
    <row r="132" spans="9:9" x14ac:dyDescent="0.35">
      <c r="I132" s="9"/>
    </row>
    <row r="133" spans="9:9" x14ac:dyDescent="0.35">
      <c r="I133" s="9"/>
    </row>
    <row r="134" spans="9:9" x14ac:dyDescent="0.35">
      <c r="I134" s="9"/>
    </row>
    <row r="135" spans="9:9" x14ac:dyDescent="0.35">
      <c r="I135" s="9"/>
    </row>
    <row r="136" spans="9:9" x14ac:dyDescent="0.35">
      <c r="I136" s="9"/>
    </row>
    <row r="137" spans="9:9" x14ac:dyDescent="0.35">
      <c r="I137" s="9"/>
    </row>
    <row r="138" spans="9:9" x14ac:dyDescent="0.35">
      <c r="I138" s="9"/>
    </row>
    <row r="139" spans="9:9" x14ac:dyDescent="0.35">
      <c r="I139" s="9"/>
    </row>
    <row r="140" spans="9:9" x14ac:dyDescent="0.35">
      <c r="I140" s="9"/>
    </row>
    <row r="141" spans="9:9" x14ac:dyDescent="0.35">
      <c r="I141" s="9"/>
    </row>
    <row r="142" spans="9:9" x14ac:dyDescent="0.35">
      <c r="I142" s="9"/>
    </row>
    <row r="143" spans="9:9" x14ac:dyDescent="0.35">
      <c r="I143" s="9"/>
    </row>
    <row r="144" spans="9:9" x14ac:dyDescent="0.35">
      <c r="I144" s="9"/>
    </row>
    <row r="145" spans="9:9" x14ac:dyDescent="0.35">
      <c r="I145" s="9"/>
    </row>
    <row r="146" spans="9:9" x14ac:dyDescent="0.35">
      <c r="I146" s="9"/>
    </row>
    <row r="147" spans="9:9" x14ac:dyDescent="0.35">
      <c r="I147" s="9"/>
    </row>
    <row r="148" spans="9:9" x14ac:dyDescent="0.35">
      <c r="I148" s="9"/>
    </row>
    <row r="149" spans="9:9" x14ac:dyDescent="0.35">
      <c r="I149" s="9"/>
    </row>
    <row r="150" spans="9:9" x14ac:dyDescent="0.35">
      <c r="I150" s="9"/>
    </row>
    <row r="151" spans="9:9" x14ac:dyDescent="0.35">
      <c r="I151" s="9"/>
    </row>
    <row r="152" spans="9:9" x14ac:dyDescent="0.35">
      <c r="I152" s="9"/>
    </row>
    <row r="153" spans="9:9" x14ac:dyDescent="0.35">
      <c r="I153" s="9"/>
    </row>
    <row r="154" spans="9:9" x14ac:dyDescent="0.35">
      <c r="I154" s="9"/>
    </row>
    <row r="155" spans="9:9" x14ac:dyDescent="0.35">
      <c r="I155" s="9"/>
    </row>
    <row r="156" spans="9:9" x14ac:dyDescent="0.35">
      <c r="I156" s="9"/>
    </row>
    <row r="157" spans="9:9" x14ac:dyDescent="0.35">
      <c r="I157" s="9"/>
    </row>
    <row r="158" spans="9:9" x14ac:dyDescent="0.35">
      <c r="I158" s="9"/>
    </row>
    <row r="159" spans="9:9" x14ac:dyDescent="0.35">
      <c r="I159" s="9"/>
    </row>
    <row r="160" spans="9:9" x14ac:dyDescent="0.35">
      <c r="I160" s="9"/>
    </row>
    <row r="161" spans="9:9" x14ac:dyDescent="0.35">
      <c r="I161" s="9"/>
    </row>
    <row r="162" spans="9:9" x14ac:dyDescent="0.35">
      <c r="I162" s="9"/>
    </row>
    <row r="163" spans="9:9" x14ac:dyDescent="0.35">
      <c r="I163" s="9"/>
    </row>
    <row r="164" spans="9:9" x14ac:dyDescent="0.35">
      <c r="I164" s="9"/>
    </row>
    <row r="165" spans="9:9" x14ac:dyDescent="0.35">
      <c r="I165" s="9"/>
    </row>
    <row r="166" spans="9:9" x14ac:dyDescent="0.35">
      <c r="I166" s="9"/>
    </row>
    <row r="167" spans="9:9" x14ac:dyDescent="0.35">
      <c r="I167" s="9"/>
    </row>
    <row r="168" spans="9:9" x14ac:dyDescent="0.35">
      <c r="I168" s="9"/>
    </row>
    <row r="169" spans="9:9" x14ac:dyDescent="0.35">
      <c r="I169" s="9"/>
    </row>
    <row r="170" spans="9:9" x14ac:dyDescent="0.35">
      <c r="I170" s="9"/>
    </row>
    <row r="171" spans="9:9" x14ac:dyDescent="0.35">
      <c r="I171" s="9"/>
    </row>
    <row r="172" spans="9:9" x14ac:dyDescent="0.35">
      <c r="I172" s="9"/>
    </row>
    <row r="173" spans="9:9" x14ac:dyDescent="0.35">
      <c r="I173" s="9"/>
    </row>
    <row r="174" spans="9:9" x14ac:dyDescent="0.35">
      <c r="I174" s="9"/>
    </row>
    <row r="175" spans="9:9" x14ac:dyDescent="0.35">
      <c r="I175" s="9"/>
    </row>
    <row r="176" spans="9:9" x14ac:dyDescent="0.35">
      <c r="I176" s="9"/>
    </row>
    <row r="177" spans="9:9" x14ac:dyDescent="0.35">
      <c r="I177" s="9"/>
    </row>
    <row r="178" spans="9:9" x14ac:dyDescent="0.35">
      <c r="I178" s="9"/>
    </row>
    <row r="179" spans="9:9" x14ac:dyDescent="0.35">
      <c r="I179" s="9"/>
    </row>
    <row r="180" spans="9:9" x14ac:dyDescent="0.35">
      <c r="I180" s="9"/>
    </row>
    <row r="181" spans="9:9" x14ac:dyDescent="0.35">
      <c r="I181" s="9"/>
    </row>
    <row r="182" spans="9:9" x14ac:dyDescent="0.35">
      <c r="I182" s="9"/>
    </row>
    <row r="183" spans="9:9" x14ac:dyDescent="0.35">
      <c r="I183" s="9"/>
    </row>
    <row r="184" spans="9:9" x14ac:dyDescent="0.35">
      <c r="I184" s="9"/>
    </row>
    <row r="185" spans="9:9" x14ac:dyDescent="0.35">
      <c r="I185" s="9"/>
    </row>
    <row r="186" spans="9:9" x14ac:dyDescent="0.35">
      <c r="I186" s="9"/>
    </row>
    <row r="187" spans="9:9" x14ac:dyDescent="0.35">
      <c r="I187" s="9"/>
    </row>
    <row r="188" spans="9:9" x14ac:dyDescent="0.35">
      <c r="I188" s="9"/>
    </row>
    <row r="189" spans="9:9" x14ac:dyDescent="0.35">
      <c r="I189" s="9"/>
    </row>
    <row r="190" spans="9:9" x14ac:dyDescent="0.35">
      <c r="I190" s="9"/>
    </row>
    <row r="191" spans="9:9" x14ac:dyDescent="0.35">
      <c r="I191" s="9"/>
    </row>
    <row r="192" spans="9:9" x14ac:dyDescent="0.35">
      <c r="I192" s="9"/>
    </row>
    <row r="193" spans="9:9" x14ac:dyDescent="0.35">
      <c r="I193" s="9"/>
    </row>
    <row r="194" spans="9:9" x14ac:dyDescent="0.35">
      <c r="I194" s="9"/>
    </row>
    <row r="195" spans="9:9" x14ac:dyDescent="0.35">
      <c r="I195" s="9"/>
    </row>
    <row r="196" spans="9:9" x14ac:dyDescent="0.35">
      <c r="I196" s="9"/>
    </row>
    <row r="197" spans="9:9" x14ac:dyDescent="0.35">
      <c r="I197" s="9"/>
    </row>
    <row r="198" spans="9:9" x14ac:dyDescent="0.35">
      <c r="I198" s="9"/>
    </row>
    <row r="199" spans="9:9" x14ac:dyDescent="0.35">
      <c r="I199" s="9"/>
    </row>
    <row r="200" spans="9:9" x14ac:dyDescent="0.35">
      <c r="I200" s="9"/>
    </row>
    <row r="201" spans="9:9" x14ac:dyDescent="0.35">
      <c r="I201" s="9"/>
    </row>
    <row r="202" spans="9:9" x14ac:dyDescent="0.35">
      <c r="I202" s="9"/>
    </row>
    <row r="203" spans="9:9" x14ac:dyDescent="0.35">
      <c r="I203" s="9"/>
    </row>
    <row r="204" spans="9:9" x14ac:dyDescent="0.35">
      <c r="I204" s="9"/>
    </row>
    <row r="205" spans="9:9" x14ac:dyDescent="0.35">
      <c r="I205" s="9"/>
    </row>
    <row r="206" spans="9:9" x14ac:dyDescent="0.35">
      <c r="I206" s="9"/>
    </row>
    <row r="207" spans="9:9" x14ac:dyDescent="0.35">
      <c r="I207" s="9"/>
    </row>
    <row r="208" spans="9:9" x14ac:dyDescent="0.35">
      <c r="I208" s="9"/>
    </row>
    <row r="209" spans="9:9" x14ac:dyDescent="0.35">
      <c r="I209" s="9"/>
    </row>
    <row r="210" spans="9:9" x14ac:dyDescent="0.35">
      <c r="I210" s="9"/>
    </row>
    <row r="211" spans="9:9" x14ac:dyDescent="0.35">
      <c r="I211" s="9"/>
    </row>
    <row r="212" spans="9:9" x14ac:dyDescent="0.35">
      <c r="I212" s="9"/>
    </row>
    <row r="213" spans="9:9" x14ac:dyDescent="0.35">
      <c r="I213" s="9"/>
    </row>
    <row r="214" spans="9:9" x14ac:dyDescent="0.35">
      <c r="I214" s="9"/>
    </row>
    <row r="215" spans="9:9" x14ac:dyDescent="0.35">
      <c r="I215" s="9"/>
    </row>
    <row r="216" spans="9:9" x14ac:dyDescent="0.35">
      <c r="I216" s="9"/>
    </row>
    <row r="217" spans="9:9" x14ac:dyDescent="0.35">
      <c r="I217" s="9"/>
    </row>
    <row r="218" spans="9:9" x14ac:dyDescent="0.35">
      <c r="I218" s="9"/>
    </row>
    <row r="219" spans="9:9" x14ac:dyDescent="0.35">
      <c r="I219" s="9"/>
    </row>
    <row r="220" spans="9:9" x14ac:dyDescent="0.35">
      <c r="I220" s="9"/>
    </row>
    <row r="221" spans="9:9" x14ac:dyDescent="0.35">
      <c r="I221" s="9"/>
    </row>
    <row r="222" spans="9:9" x14ac:dyDescent="0.35">
      <c r="I222" s="9"/>
    </row>
    <row r="223" spans="9:9" x14ac:dyDescent="0.35">
      <c r="I223" s="9"/>
    </row>
    <row r="224" spans="9:9" x14ac:dyDescent="0.35">
      <c r="I224" s="9"/>
    </row>
    <row r="225" spans="9:9" x14ac:dyDescent="0.35">
      <c r="I225" s="9"/>
    </row>
    <row r="226" spans="9:9" x14ac:dyDescent="0.35">
      <c r="I226" s="9"/>
    </row>
    <row r="227" spans="9:9" x14ac:dyDescent="0.35">
      <c r="I227" s="9"/>
    </row>
    <row r="228" spans="9:9" x14ac:dyDescent="0.35">
      <c r="I228" s="9"/>
    </row>
    <row r="229" spans="9:9" x14ac:dyDescent="0.35">
      <c r="I229" s="9"/>
    </row>
    <row r="230" spans="9:9" x14ac:dyDescent="0.35">
      <c r="I230" s="9"/>
    </row>
    <row r="231" spans="9:9" x14ac:dyDescent="0.35">
      <c r="I231" s="9"/>
    </row>
    <row r="232" spans="9:9" x14ac:dyDescent="0.35">
      <c r="I232" s="9"/>
    </row>
    <row r="233" spans="9:9" x14ac:dyDescent="0.35">
      <c r="I233" s="9"/>
    </row>
    <row r="234" spans="9:9" x14ac:dyDescent="0.35">
      <c r="I234" s="9"/>
    </row>
    <row r="235" spans="9:9" x14ac:dyDescent="0.35">
      <c r="I235" s="9"/>
    </row>
    <row r="236" spans="9:9" x14ac:dyDescent="0.35">
      <c r="I236" s="9"/>
    </row>
    <row r="237" spans="9:9" x14ac:dyDescent="0.35">
      <c r="I237" s="9"/>
    </row>
    <row r="238" spans="9:9" x14ac:dyDescent="0.35">
      <c r="I238" s="9"/>
    </row>
    <row r="239" spans="9:9" x14ac:dyDescent="0.35">
      <c r="I239" s="9"/>
    </row>
    <row r="240" spans="9:9" x14ac:dyDescent="0.35">
      <c r="I240" s="9"/>
    </row>
    <row r="241" spans="9:9" x14ac:dyDescent="0.35">
      <c r="I241" s="9"/>
    </row>
    <row r="242" spans="9:9" x14ac:dyDescent="0.35">
      <c r="I242" s="9"/>
    </row>
    <row r="243" spans="9:9" x14ac:dyDescent="0.35">
      <c r="I243" s="9"/>
    </row>
    <row r="244" spans="9:9" x14ac:dyDescent="0.35">
      <c r="I244" s="9"/>
    </row>
    <row r="245" spans="9:9" x14ac:dyDescent="0.35">
      <c r="I245" s="9"/>
    </row>
    <row r="246" spans="9:9" x14ac:dyDescent="0.35">
      <c r="I246" s="9"/>
    </row>
    <row r="247" spans="9:9" x14ac:dyDescent="0.35">
      <c r="I247" s="9"/>
    </row>
    <row r="248" spans="9:9" x14ac:dyDescent="0.35">
      <c r="I248" s="9"/>
    </row>
    <row r="249" spans="9:9" x14ac:dyDescent="0.35">
      <c r="I249" s="9"/>
    </row>
    <row r="250" spans="9:9" x14ac:dyDescent="0.35">
      <c r="I250" s="9"/>
    </row>
    <row r="251" spans="9:9" x14ac:dyDescent="0.35">
      <c r="I251" s="9"/>
    </row>
    <row r="252" spans="9:9" x14ac:dyDescent="0.35">
      <c r="I252" s="9"/>
    </row>
    <row r="253" spans="9:9" x14ac:dyDescent="0.35">
      <c r="I253" s="9"/>
    </row>
    <row r="254" spans="9:9" x14ac:dyDescent="0.35">
      <c r="I254" s="9"/>
    </row>
    <row r="255" spans="9:9" x14ac:dyDescent="0.35">
      <c r="I255" s="9"/>
    </row>
    <row r="256" spans="9:9" x14ac:dyDescent="0.35">
      <c r="I256" s="9"/>
    </row>
    <row r="257" spans="9:9" x14ac:dyDescent="0.35">
      <c r="I257" s="9"/>
    </row>
    <row r="258" spans="9:9" x14ac:dyDescent="0.35">
      <c r="I258" s="9"/>
    </row>
    <row r="259" spans="9:9" x14ac:dyDescent="0.35">
      <c r="I259" s="9"/>
    </row>
    <row r="260" spans="9:9" x14ac:dyDescent="0.35">
      <c r="I260" s="9"/>
    </row>
    <row r="261" spans="9:9" x14ac:dyDescent="0.35">
      <c r="I261" s="9"/>
    </row>
    <row r="262" spans="9:9" x14ac:dyDescent="0.35">
      <c r="I262" s="9"/>
    </row>
    <row r="263" spans="9:9" x14ac:dyDescent="0.35">
      <c r="I263" s="9"/>
    </row>
    <row r="264" spans="9:9" x14ac:dyDescent="0.35">
      <c r="I264" s="9"/>
    </row>
    <row r="265" spans="9:9" x14ac:dyDescent="0.35">
      <c r="I265" s="9"/>
    </row>
    <row r="266" spans="9:9" x14ac:dyDescent="0.35">
      <c r="I266" s="9"/>
    </row>
    <row r="267" spans="9:9" x14ac:dyDescent="0.35">
      <c r="I267" s="9"/>
    </row>
    <row r="268" spans="9:9" x14ac:dyDescent="0.35">
      <c r="I268" s="9"/>
    </row>
    <row r="269" spans="9:9" x14ac:dyDescent="0.35">
      <c r="I269" s="9"/>
    </row>
    <row r="270" spans="9:9" x14ac:dyDescent="0.35">
      <c r="I270" s="9"/>
    </row>
    <row r="271" spans="9:9" x14ac:dyDescent="0.35">
      <c r="I271" s="9"/>
    </row>
    <row r="272" spans="9:9" x14ac:dyDescent="0.35">
      <c r="I272" s="9"/>
    </row>
    <row r="273" spans="9:9" x14ac:dyDescent="0.35">
      <c r="I273" s="9"/>
    </row>
    <row r="274" spans="9:9" x14ac:dyDescent="0.35">
      <c r="I274" s="9"/>
    </row>
    <row r="275" spans="9:9" x14ac:dyDescent="0.35">
      <c r="I275" s="9"/>
    </row>
    <row r="276" spans="9:9" x14ac:dyDescent="0.35">
      <c r="I276" s="9"/>
    </row>
    <row r="277" spans="9:9" x14ac:dyDescent="0.35">
      <c r="I277" s="9"/>
    </row>
    <row r="278" spans="9:9" x14ac:dyDescent="0.35">
      <c r="I278" s="9"/>
    </row>
    <row r="279" spans="9:9" x14ac:dyDescent="0.35">
      <c r="I279" s="9"/>
    </row>
    <row r="280" spans="9:9" x14ac:dyDescent="0.35">
      <c r="I280" s="9"/>
    </row>
    <row r="281" spans="9:9" x14ac:dyDescent="0.35">
      <c r="I281" s="9"/>
    </row>
    <row r="282" spans="9:9" x14ac:dyDescent="0.35">
      <c r="I282" s="9"/>
    </row>
    <row r="283" spans="9:9" x14ac:dyDescent="0.35">
      <c r="I283" s="9"/>
    </row>
    <row r="284" spans="9:9" x14ac:dyDescent="0.35">
      <c r="I284" s="9"/>
    </row>
    <row r="285" spans="9:9" x14ac:dyDescent="0.35">
      <c r="I285" s="9"/>
    </row>
    <row r="286" spans="9:9" x14ac:dyDescent="0.35">
      <c r="I286" s="9"/>
    </row>
    <row r="287" spans="9:9" x14ac:dyDescent="0.35">
      <c r="I287" s="9"/>
    </row>
    <row r="288" spans="9:9" x14ac:dyDescent="0.35">
      <c r="I288" s="9"/>
    </row>
    <row r="289" spans="9:9" x14ac:dyDescent="0.35">
      <c r="I289" s="9"/>
    </row>
    <row r="290" spans="9:9" x14ac:dyDescent="0.35">
      <c r="I290" s="9"/>
    </row>
    <row r="291" spans="9:9" x14ac:dyDescent="0.35">
      <c r="I291" s="9"/>
    </row>
    <row r="292" spans="9:9" x14ac:dyDescent="0.35">
      <c r="I292" s="9"/>
    </row>
    <row r="293" spans="9:9" x14ac:dyDescent="0.35">
      <c r="I293" s="9"/>
    </row>
    <row r="294" spans="9:9" x14ac:dyDescent="0.35">
      <c r="I294" s="9"/>
    </row>
    <row r="295" spans="9:9" x14ac:dyDescent="0.35">
      <c r="I295" s="9"/>
    </row>
    <row r="296" spans="9:9" x14ac:dyDescent="0.35">
      <c r="I296" s="9"/>
    </row>
    <row r="297" spans="9:9" x14ac:dyDescent="0.35">
      <c r="I297" s="9"/>
    </row>
    <row r="298" spans="9:9" x14ac:dyDescent="0.35">
      <c r="I298" s="9"/>
    </row>
    <row r="299" spans="9:9" x14ac:dyDescent="0.35">
      <c r="I299" s="9"/>
    </row>
    <row r="300" spans="9:9" x14ac:dyDescent="0.35">
      <c r="I300" s="9"/>
    </row>
    <row r="301" spans="9:9" x14ac:dyDescent="0.35">
      <c r="I301" s="9"/>
    </row>
    <row r="302" spans="9:9" x14ac:dyDescent="0.35">
      <c r="I302" s="9"/>
    </row>
    <row r="303" spans="9:9" x14ac:dyDescent="0.35">
      <c r="I303" s="9"/>
    </row>
    <row r="304" spans="9:9" x14ac:dyDescent="0.35">
      <c r="I304" s="9"/>
    </row>
    <row r="305" spans="9:9" x14ac:dyDescent="0.35">
      <c r="I305" s="9"/>
    </row>
    <row r="306" spans="9:9" x14ac:dyDescent="0.35">
      <c r="I306" s="9"/>
    </row>
    <row r="307" spans="9:9" x14ac:dyDescent="0.35">
      <c r="I307" s="9"/>
    </row>
    <row r="308" spans="9:9" x14ac:dyDescent="0.35">
      <c r="I308" s="9"/>
    </row>
    <row r="309" spans="9:9" x14ac:dyDescent="0.35">
      <c r="I309" s="9"/>
    </row>
    <row r="310" spans="9:9" x14ac:dyDescent="0.35">
      <c r="I310" s="9"/>
    </row>
    <row r="311" spans="9:9" x14ac:dyDescent="0.35">
      <c r="I311" s="9"/>
    </row>
    <row r="312" spans="9:9" x14ac:dyDescent="0.35">
      <c r="I312" s="9"/>
    </row>
    <row r="313" spans="9:9" x14ac:dyDescent="0.35">
      <c r="I313" s="9"/>
    </row>
    <row r="314" spans="9:9" x14ac:dyDescent="0.35">
      <c r="I314" s="9"/>
    </row>
    <row r="315" spans="9:9" x14ac:dyDescent="0.35">
      <c r="I315" s="9"/>
    </row>
    <row r="316" spans="9:9" x14ac:dyDescent="0.35">
      <c r="I316" s="9"/>
    </row>
    <row r="317" spans="9:9" x14ac:dyDescent="0.35">
      <c r="I317" s="9"/>
    </row>
    <row r="318" spans="9:9" x14ac:dyDescent="0.35">
      <c r="I318" s="9"/>
    </row>
    <row r="319" spans="9:9" x14ac:dyDescent="0.35">
      <c r="I319" s="9"/>
    </row>
    <row r="320" spans="9:9" x14ac:dyDescent="0.35">
      <c r="I320" s="9"/>
    </row>
    <row r="321" spans="9:9" x14ac:dyDescent="0.35">
      <c r="I321" s="9"/>
    </row>
    <row r="322" spans="9:9" x14ac:dyDescent="0.35">
      <c r="I322" s="9"/>
    </row>
    <row r="323" spans="9:9" x14ac:dyDescent="0.35">
      <c r="I323" s="9"/>
    </row>
    <row r="324" spans="9:9" x14ac:dyDescent="0.35">
      <c r="I324" s="9"/>
    </row>
    <row r="325" spans="9:9" x14ac:dyDescent="0.35">
      <c r="I325" s="9"/>
    </row>
    <row r="326" spans="9:9" x14ac:dyDescent="0.35">
      <c r="I326" s="9"/>
    </row>
    <row r="327" spans="9:9" x14ac:dyDescent="0.35">
      <c r="I327" s="9"/>
    </row>
    <row r="328" spans="9:9" x14ac:dyDescent="0.35">
      <c r="I328" s="9"/>
    </row>
    <row r="329" spans="9:9" x14ac:dyDescent="0.35">
      <c r="I329" s="9"/>
    </row>
    <row r="330" spans="9:9" x14ac:dyDescent="0.35">
      <c r="I330" s="9"/>
    </row>
    <row r="331" spans="9:9" x14ac:dyDescent="0.35">
      <c r="I331" s="9"/>
    </row>
    <row r="332" spans="9:9" x14ac:dyDescent="0.35">
      <c r="I332" s="9"/>
    </row>
    <row r="333" spans="9:9" x14ac:dyDescent="0.35">
      <c r="I333" s="9"/>
    </row>
    <row r="334" spans="9:9" x14ac:dyDescent="0.35">
      <c r="I334" s="9"/>
    </row>
    <row r="335" spans="9:9" x14ac:dyDescent="0.35">
      <c r="I335" s="9"/>
    </row>
    <row r="336" spans="9:9" x14ac:dyDescent="0.35">
      <c r="I336" s="9"/>
    </row>
    <row r="337" spans="9:9" x14ac:dyDescent="0.35">
      <c r="I337" s="9"/>
    </row>
    <row r="338" spans="9:9" x14ac:dyDescent="0.35">
      <c r="I338" s="9"/>
    </row>
    <row r="339" spans="9:9" x14ac:dyDescent="0.35">
      <c r="I339" s="9"/>
    </row>
    <row r="340" spans="9:9" x14ac:dyDescent="0.35">
      <c r="I340" s="9"/>
    </row>
    <row r="341" spans="9:9" x14ac:dyDescent="0.35">
      <c r="I341" s="9"/>
    </row>
    <row r="342" spans="9:9" x14ac:dyDescent="0.35">
      <c r="I342" s="9"/>
    </row>
    <row r="343" spans="9:9" x14ac:dyDescent="0.35">
      <c r="I343" s="9"/>
    </row>
    <row r="344" spans="9:9" x14ac:dyDescent="0.35">
      <c r="I344" s="9"/>
    </row>
    <row r="345" spans="9:9" x14ac:dyDescent="0.35">
      <c r="I345" s="9"/>
    </row>
    <row r="346" spans="9:9" x14ac:dyDescent="0.35">
      <c r="I346" s="9"/>
    </row>
    <row r="347" spans="9:9" x14ac:dyDescent="0.35">
      <c r="I347" s="9"/>
    </row>
    <row r="348" spans="9:9" x14ac:dyDescent="0.35">
      <c r="I348" s="9"/>
    </row>
    <row r="349" spans="9:9" x14ac:dyDescent="0.35">
      <c r="I349" s="9"/>
    </row>
    <row r="350" spans="9:9" x14ac:dyDescent="0.35">
      <c r="I350" s="9"/>
    </row>
    <row r="351" spans="9:9" x14ac:dyDescent="0.35">
      <c r="I351" s="9"/>
    </row>
    <row r="352" spans="9:9" x14ac:dyDescent="0.35">
      <c r="I352" s="9"/>
    </row>
    <row r="353" spans="9:9" x14ac:dyDescent="0.35">
      <c r="I353" s="9"/>
    </row>
    <row r="354" spans="9:9" x14ac:dyDescent="0.35">
      <c r="I354" s="9"/>
    </row>
    <row r="355" spans="9:9" x14ac:dyDescent="0.35">
      <c r="I355" s="9"/>
    </row>
    <row r="356" spans="9:9" x14ac:dyDescent="0.35">
      <c r="I356" s="9"/>
    </row>
    <row r="357" spans="9:9" x14ac:dyDescent="0.35">
      <c r="I357" s="9"/>
    </row>
    <row r="358" spans="9:9" x14ac:dyDescent="0.35">
      <c r="I358" s="9"/>
    </row>
    <row r="359" spans="9:9" x14ac:dyDescent="0.35">
      <c r="I359" s="9"/>
    </row>
    <row r="360" spans="9:9" x14ac:dyDescent="0.35">
      <c r="I360" s="9"/>
    </row>
    <row r="361" spans="9:9" x14ac:dyDescent="0.35">
      <c r="I361" s="9"/>
    </row>
    <row r="362" spans="9:9" x14ac:dyDescent="0.35">
      <c r="I362" s="9"/>
    </row>
    <row r="363" spans="9:9" x14ac:dyDescent="0.35">
      <c r="I363" s="9"/>
    </row>
    <row r="364" spans="9:9" x14ac:dyDescent="0.35">
      <c r="I364" s="9"/>
    </row>
    <row r="365" spans="9:9" x14ac:dyDescent="0.35">
      <c r="I365" s="9"/>
    </row>
    <row r="366" spans="9:9" x14ac:dyDescent="0.35">
      <c r="I366" s="9"/>
    </row>
    <row r="367" spans="9:9" x14ac:dyDescent="0.35">
      <c r="I367" s="9"/>
    </row>
    <row r="368" spans="9:9" x14ac:dyDescent="0.35">
      <c r="I368" s="9"/>
    </row>
    <row r="369" spans="9:9" x14ac:dyDescent="0.35">
      <c r="I369" s="9"/>
    </row>
    <row r="370" spans="9:9" x14ac:dyDescent="0.35">
      <c r="I370" s="9"/>
    </row>
    <row r="371" spans="9:9" x14ac:dyDescent="0.35">
      <c r="I371" s="9"/>
    </row>
    <row r="372" spans="9:9" x14ac:dyDescent="0.35">
      <c r="I372" s="9"/>
    </row>
    <row r="373" spans="9:9" x14ac:dyDescent="0.35">
      <c r="I373" s="9"/>
    </row>
    <row r="374" spans="9:9" x14ac:dyDescent="0.35">
      <c r="I374" s="9"/>
    </row>
    <row r="375" spans="9:9" x14ac:dyDescent="0.35">
      <c r="I375" s="9"/>
    </row>
    <row r="376" spans="9:9" x14ac:dyDescent="0.35">
      <c r="I376" s="9"/>
    </row>
    <row r="377" spans="9:9" x14ac:dyDescent="0.35">
      <c r="I377" s="9"/>
    </row>
    <row r="378" spans="9:9" x14ac:dyDescent="0.35">
      <c r="I378" s="9"/>
    </row>
    <row r="379" spans="9:9" x14ac:dyDescent="0.35">
      <c r="I379" s="9"/>
    </row>
    <row r="380" spans="9:9" x14ac:dyDescent="0.35">
      <c r="I380" s="9"/>
    </row>
    <row r="381" spans="9:9" x14ac:dyDescent="0.35">
      <c r="I381" s="9"/>
    </row>
    <row r="382" spans="9:9" x14ac:dyDescent="0.35">
      <c r="I382" s="9"/>
    </row>
    <row r="383" spans="9:9" x14ac:dyDescent="0.35">
      <c r="I383" s="9"/>
    </row>
    <row r="384" spans="9:9" x14ac:dyDescent="0.35">
      <c r="I384" s="9"/>
    </row>
    <row r="385" spans="9:9" x14ac:dyDescent="0.35">
      <c r="I385" s="9"/>
    </row>
    <row r="386" spans="9:9" x14ac:dyDescent="0.35">
      <c r="I386" s="9"/>
    </row>
    <row r="387" spans="9:9" x14ac:dyDescent="0.35">
      <c r="I387" s="9"/>
    </row>
    <row r="388" spans="9:9" x14ac:dyDescent="0.35">
      <c r="I388" s="9"/>
    </row>
    <row r="389" spans="9:9" x14ac:dyDescent="0.35">
      <c r="I389" s="9"/>
    </row>
    <row r="390" spans="9:9" x14ac:dyDescent="0.35">
      <c r="I390" s="9"/>
    </row>
    <row r="391" spans="9:9" x14ac:dyDescent="0.35">
      <c r="I391" s="9"/>
    </row>
    <row r="392" spans="9:9" x14ac:dyDescent="0.35">
      <c r="I392" s="9"/>
    </row>
    <row r="393" spans="9:9" x14ac:dyDescent="0.35">
      <c r="I393" s="9"/>
    </row>
    <row r="394" spans="9:9" x14ac:dyDescent="0.35">
      <c r="I394" s="9"/>
    </row>
    <row r="395" spans="9:9" x14ac:dyDescent="0.35">
      <c r="I395" s="9"/>
    </row>
    <row r="396" spans="9:9" x14ac:dyDescent="0.35">
      <c r="I396" s="9"/>
    </row>
    <row r="397" spans="9:9" x14ac:dyDescent="0.35">
      <c r="I397" s="9"/>
    </row>
    <row r="398" spans="9:9" x14ac:dyDescent="0.35">
      <c r="I398" s="9"/>
    </row>
    <row r="399" spans="9:9" x14ac:dyDescent="0.35">
      <c r="I399" s="9"/>
    </row>
    <row r="400" spans="9:9" x14ac:dyDescent="0.35">
      <c r="I400" s="9"/>
    </row>
    <row r="401" spans="9:9" x14ac:dyDescent="0.35">
      <c r="I401" s="9"/>
    </row>
    <row r="402" spans="9:9" x14ac:dyDescent="0.35">
      <c r="I402" s="9"/>
    </row>
    <row r="403" spans="9:9" x14ac:dyDescent="0.35">
      <c r="I403" s="9"/>
    </row>
    <row r="404" spans="9:9" x14ac:dyDescent="0.35">
      <c r="I404" s="9"/>
    </row>
    <row r="405" spans="9:9" x14ac:dyDescent="0.35">
      <c r="I405" s="9"/>
    </row>
    <row r="406" spans="9:9" x14ac:dyDescent="0.35">
      <c r="I406" s="9"/>
    </row>
    <row r="407" spans="9:9" x14ac:dyDescent="0.35">
      <c r="I407" s="9"/>
    </row>
    <row r="408" spans="9:9" x14ac:dyDescent="0.35">
      <c r="I408" s="9"/>
    </row>
    <row r="409" spans="9:9" x14ac:dyDescent="0.35">
      <c r="I409" s="9"/>
    </row>
    <row r="410" spans="9:9" x14ac:dyDescent="0.35">
      <c r="I410" s="9"/>
    </row>
    <row r="411" spans="9:9" x14ac:dyDescent="0.35">
      <c r="I411" s="9"/>
    </row>
    <row r="412" spans="9:9" x14ac:dyDescent="0.35">
      <c r="I412" s="9"/>
    </row>
    <row r="413" spans="9:9" x14ac:dyDescent="0.35">
      <c r="I413" s="9"/>
    </row>
    <row r="414" spans="9:9" x14ac:dyDescent="0.35">
      <c r="I414" s="9"/>
    </row>
    <row r="415" spans="9:9" x14ac:dyDescent="0.35">
      <c r="I415" s="9"/>
    </row>
    <row r="416" spans="9:9" x14ac:dyDescent="0.35">
      <c r="I416" s="9"/>
    </row>
    <row r="417" spans="9:9" x14ac:dyDescent="0.35">
      <c r="I417" s="9"/>
    </row>
    <row r="418" spans="9:9" x14ac:dyDescent="0.35">
      <c r="I418" s="9"/>
    </row>
    <row r="419" spans="9:9" x14ac:dyDescent="0.35">
      <c r="I419" s="9"/>
    </row>
    <row r="420" spans="9:9" x14ac:dyDescent="0.35">
      <c r="I420" s="9"/>
    </row>
    <row r="421" spans="9:9" x14ac:dyDescent="0.35">
      <c r="I421" s="9"/>
    </row>
    <row r="422" spans="9:9" x14ac:dyDescent="0.35">
      <c r="I422" s="9"/>
    </row>
    <row r="423" spans="9:9" x14ac:dyDescent="0.35">
      <c r="I423" s="9"/>
    </row>
    <row r="424" spans="9:9" x14ac:dyDescent="0.35">
      <c r="I424" s="9"/>
    </row>
    <row r="425" spans="9:9" x14ac:dyDescent="0.35">
      <c r="I425" s="9"/>
    </row>
    <row r="426" spans="9:9" x14ac:dyDescent="0.35">
      <c r="I426" s="9"/>
    </row>
    <row r="427" spans="9:9" x14ac:dyDescent="0.35">
      <c r="I427" s="9"/>
    </row>
    <row r="428" spans="9:9" x14ac:dyDescent="0.35">
      <c r="I428" s="9"/>
    </row>
    <row r="429" spans="9:9" x14ac:dyDescent="0.35">
      <c r="I429" s="9"/>
    </row>
    <row r="430" spans="9:9" x14ac:dyDescent="0.35">
      <c r="I430" s="9"/>
    </row>
    <row r="431" spans="9:9" x14ac:dyDescent="0.35">
      <c r="I431" s="9"/>
    </row>
    <row r="432" spans="9:9" x14ac:dyDescent="0.35">
      <c r="I432" s="9"/>
    </row>
    <row r="433" spans="9:9" x14ac:dyDescent="0.35">
      <c r="I433" s="9"/>
    </row>
    <row r="434" spans="9:9" x14ac:dyDescent="0.35">
      <c r="I434" s="9"/>
    </row>
    <row r="435" spans="9:9" x14ac:dyDescent="0.35">
      <c r="I435" s="9"/>
    </row>
    <row r="436" spans="9:9" x14ac:dyDescent="0.35">
      <c r="I436" s="9"/>
    </row>
    <row r="437" spans="9:9" x14ac:dyDescent="0.35">
      <c r="I437" s="9"/>
    </row>
    <row r="438" spans="9:9" x14ac:dyDescent="0.35">
      <c r="I438" s="9"/>
    </row>
    <row r="439" spans="9:9" x14ac:dyDescent="0.35">
      <c r="I439" s="9"/>
    </row>
    <row r="440" spans="9:9" x14ac:dyDescent="0.35">
      <c r="I440" s="9"/>
    </row>
    <row r="441" spans="9:9" x14ac:dyDescent="0.35">
      <c r="I441" s="9"/>
    </row>
    <row r="442" spans="9:9" x14ac:dyDescent="0.35">
      <c r="I442" s="9"/>
    </row>
    <row r="443" spans="9:9" x14ac:dyDescent="0.35">
      <c r="I443" s="9"/>
    </row>
    <row r="444" spans="9:9" x14ac:dyDescent="0.35">
      <c r="I444" s="9"/>
    </row>
    <row r="445" spans="9:9" x14ac:dyDescent="0.35">
      <c r="I445" s="9"/>
    </row>
    <row r="446" spans="9:9" x14ac:dyDescent="0.35">
      <c r="I446" s="9"/>
    </row>
    <row r="447" spans="9:9" x14ac:dyDescent="0.35">
      <c r="I447" s="9"/>
    </row>
    <row r="448" spans="9:9" x14ac:dyDescent="0.35">
      <c r="I448" s="9"/>
    </row>
    <row r="449" spans="9:9" x14ac:dyDescent="0.35">
      <c r="I449" s="9"/>
    </row>
    <row r="450" spans="9:9" x14ac:dyDescent="0.35">
      <c r="I450" s="9"/>
    </row>
    <row r="451" spans="9:9" x14ac:dyDescent="0.35">
      <c r="I451" s="9"/>
    </row>
    <row r="452" spans="9:9" x14ac:dyDescent="0.35">
      <c r="I452" s="9"/>
    </row>
    <row r="453" spans="9:9" x14ac:dyDescent="0.35">
      <c r="I453" s="9"/>
    </row>
    <row r="454" spans="9:9" x14ac:dyDescent="0.35">
      <c r="I454" s="9"/>
    </row>
    <row r="455" spans="9:9" x14ac:dyDescent="0.35">
      <c r="I455" s="9"/>
    </row>
    <row r="456" spans="9:9" x14ac:dyDescent="0.35">
      <c r="I456" s="9"/>
    </row>
    <row r="457" spans="9:9" x14ac:dyDescent="0.35">
      <c r="I457" s="9"/>
    </row>
    <row r="458" spans="9:9" x14ac:dyDescent="0.35">
      <c r="I458" s="9"/>
    </row>
    <row r="459" spans="9:9" x14ac:dyDescent="0.35">
      <c r="I459" s="9"/>
    </row>
    <row r="460" spans="9:9" x14ac:dyDescent="0.35">
      <c r="I460" s="9"/>
    </row>
    <row r="461" spans="9:9" x14ac:dyDescent="0.35">
      <c r="I461" s="9"/>
    </row>
    <row r="462" spans="9:9" x14ac:dyDescent="0.35">
      <c r="I462" s="9"/>
    </row>
    <row r="463" spans="9:9" x14ac:dyDescent="0.35">
      <c r="I463" s="9"/>
    </row>
    <row r="464" spans="9:9" x14ac:dyDescent="0.35">
      <c r="I464" s="9"/>
    </row>
    <row r="465" spans="9:9" x14ac:dyDescent="0.35">
      <c r="I465" s="9"/>
    </row>
    <row r="466" spans="9:9" x14ac:dyDescent="0.35">
      <c r="I466" s="9"/>
    </row>
    <row r="467" spans="9:9" x14ac:dyDescent="0.35">
      <c r="I467" s="9"/>
    </row>
    <row r="468" spans="9:9" x14ac:dyDescent="0.35">
      <c r="I468" s="9"/>
    </row>
    <row r="469" spans="9:9" x14ac:dyDescent="0.35">
      <c r="I469" s="9"/>
    </row>
    <row r="470" spans="9:9" x14ac:dyDescent="0.35">
      <c r="I470" s="9"/>
    </row>
    <row r="471" spans="9:9" x14ac:dyDescent="0.35">
      <c r="I471" s="9"/>
    </row>
    <row r="472" spans="9:9" x14ac:dyDescent="0.35">
      <c r="I472" s="9"/>
    </row>
    <row r="473" spans="9:9" x14ac:dyDescent="0.35">
      <c r="I473" s="9"/>
    </row>
    <row r="474" spans="9:9" x14ac:dyDescent="0.35">
      <c r="I474" s="9"/>
    </row>
    <row r="475" spans="9:9" x14ac:dyDescent="0.35">
      <c r="I475" s="9"/>
    </row>
    <row r="476" spans="9:9" x14ac:dyDescent="0.35">
      <c r="I476" s="9"/>
    </row>
    <row r="477" spans="9:9" x14ac:dyDescent="0.35">
      <c r="I477" s="9"/>
    </row>
    <row r="478" spans="9:9" x14ac:dyDescent="0.35">
      <c r="I478" s="9"/>
    </row>
    <row r="479" spans="9:9" x14ac:dyDescent="0.35">
      <c r="I479" s="9"/>
    </row>
    <row r="480" spans="9:9" x14ac:dyDescent="0.35">
      <c r="I480" s="9"/>
    </row>
    <row r="481" spans="9:9" x14ac:dyDescent="0.35">
      <c r="I481" s="9"/>
    </row>
    <row r="482" spans="9:9" x14ac:dyDescent="0.35">
      <c r="I482" s="9"/>
    </row>
    <row r="483" spans="9:9" x14ac:dyDescent="0.35">
      <c r="I483" s="9"/>
    </row>
    <row r="484" spans="9:9" x14ac:dyDescent="0.35">
      <c r="I484" s="9"/>
    </row>
    <row r="485" spans="9:9" x14ac:dyDescent="0.35">
      <c r="I485" s="9"/>
    </row>
    <row r="486" spans="9:9" x14ac:dyDescent="0.35">
      <c r="I486" s="9"/>
    </row>
    <row r="487" spans="9:9" x14ac:dyDescent="0.35">
      <c r="I487" s="9"/>
    </row>
    <row r="488" spans="9:9" x14ac:dyDescent="0.35">
      <c r="I488" s="9"/>
    </row>
    <row r="489" spans="9:9" x14ac:dyDescent="0.35">
      <c r="I489" s="9"/>
    </row>
    <row r="490" spans="9:9" x14ac:dyDescent="0.35">
      <c r="I490" s="9"/>
    </row>
    <row r="491" spans="9:9" x14ac:dyDescent="0.35">
      <c r="I491" s="9"/>
    </row>
    <row r="492" spans="9:9" x14ac:dyDescent="0.35">
      <c r="I492" s="9"/>
    </row>
    <row r="493" spans="9:9" x14ac:dyDescent="0.35">
      <c r="I493" s="9"/>
    </row>
    <row r="494" spans="9:9" x14ac:dyDescent="0.35">
      <c r="I494" s="9"/>
    </row>
    <row r="495" spans="9:9" x14ac:dyDescent="0.35">
      <c r="I495" s="9"/>
    </row>
    <row r="496" spans="9:9" x14ac:dyDescent="0.35">
      <c r="I496" s="9"/>
    </row>
    <row r="497" spans="9:9" x14ac:dyDescent="0.35">
      <c r="I497" s="9"/>
    </row>
    <row r="498" spans="9:9" x14ac:dyDescent="0.35">
      <c r="I498" s="9"/>
    </row>
    <row r="499" spans="9:9" x14ac:dyDescent="0.35">
      <c r="I499" s="9"/>
    </row>
    <row r="500" spans="9:9" x14ac:dyDescent="0.35">
      <c r="I500" s="9"/>
    </row>
    <row r="501" spans="9:9" x14ac:dyDescent="0.35">
      <c r="I501" s="9"/>
    </row>
    <row r="502" spans="9:9" x14ac:dyDescent="0.35">
      <c r="I502" s="9"/>
    </row>
    <row r="503" spans="9:9" x14ac:dyDescent="0.35">
      <c r="I503" s="9"/>
    </row>
    <row r="504" spans="9:9" x14ac:dyDescent="0.35">
      <c r="I504" s="9"/>
    </row>
    <row r="505" spans="9:9" x14ac:dyDescent="0.35">
      <c r="I505" s="9"/>
    </row>
    <row r="506" spans="9:9" x14ac:dyDescent="0.35">
      <c r="I506" s="9"/>
    </row>
    <row r="507" spans="9:9" x14ac:dyDescent="0.35">
      <c r="I507" s="9"/>
    </row>
    <row r="508" spans="9:9" x14ac:dyDescent="0.35">
      <c r="I508" s="9"/>
    </row>
    <row r="509" spans="9:9" x14ac:dyDescent="0.35">
      <c r="I509" s="9"/>
    </row>
    <row r="510" spans="9:9" x14ac:dyDescent="0.35">
      <c r="I510" s="9"/>
    </row>
    <row r="511" spans="9:9" x14ac:dyDescent="0.35">
      <c r="I511" s="9"/>
    </row>
    <row r="512" spans="9:9" x14ac:dyDescent="0.35">
      <c r="I512" s="9"/>
    </row>
    <row r="513" spans="9:9" x14ac:dyDescent="0.35">
      <c r="I513" s="9"/>
    </row>
    <row r="514" spans="9:9" x14ac:dyDescent="0.35">
      <c r="I514" s="9"/>
    </row>
    <row r="515" spans="9:9" x14ac:dyDescent="0.35">
      <c r="I515" s="9"/>
    </row>
    <row r="516" spans="9:9" x14ac:dyDescent="0.35">
      <c r="I516" s="9"/>
    </row>
    <row r="517" spans="9:9" x14ac:dyDescent="0.35">
      <c r="I517" s="9"/>
    </row>
    <row r="518" spans="9:9" x14ac:dyDescent="0.35">
      <c r="I518" s="9"/>
    </row>
    <row r="519" spans="9:9" x14ac:dyDescent="0.35">
      <c r="I519" s="9"/>
    </row>
    <row r="520" spans="9:9" x14ac:dyDescent="0.35">
      <c r="I520" s="9"/>
    </row>
    <row r="521" spans="9:9" x14ac:dyDescent="0.35">
      <c r="I521" s="9"/>
    </row>
    <row r="522" spans="9:9" x14ac:dyDescent="0.35">
      <c r="I522" s="9"/>
    </row>
    <row r="523" spans="9:9" x14ac:dyDescent="0.35">
      <c r="I523" s="9"/>
    </row>
    <row r="524" spans="9:9" x14ac:dyDescent="0.35">
      <c r="I524" s="9"/>
    </row>
    <row r="525" spans="9:9" x14ac:dyDescent="0.35">
      <c r="I525" s="9"/>
    </row>
    <row r="526" spans="9:9" x14ac:dyDescent="0.35">
      <c r="I526" s="9"/>
    </row>
  </sheetData>
  <dataValidations count="1">
    <dataValidation allowBlank="1" showDropDown="1" showInputMessage="1" showErrorMessage="1" sqref="E20" xr:uid="{68901969-1D9A-433E-A988-9620E5FCF049}"/>
  </dataValidations>
  <pageMargins left="0.7" right="0.7" top="0.78740157499999996" bottom="0.78740157499999996"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SaveCurrentSelection">
                <anchor moveWithCells="1" sizeWithCells="1">
                  <from>
                    <xdr:col>1</xdr:col>
                    <xdr:colOff>50800</xdr:colOff>
                    <xdr:row>27</xdr:row>
                    <xdr:rowOff>44450</xdr:rowOff>
                  </from>
                  <to>
                    <xdr:col>1</xdr:col>
                    <xdr:colOff>2171700</xdr:colOff>
                    <xdr:row>27</xdr:row>
                    <xdr:rowOff>469900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0B0C14C3-3D18-4A0D-9E07-E1FCCEA6E8CF}">
          <x14:formula1>
            <xm:f>'Filter criteria'!$I$2:$I$7</xm:f>
          </x14:formula1>
          <xm:sqref>B10:B12</xm:sqref>
        </x14:dataValidation>
        <x14:dataValidation type="list" allowBlank="1" showInputMessage="1" showErrorMessage="1" xr:uid="{BC1BF64B-8884-4965-A716-75A0B68FFE57}">
          <x14:formula1>
            <xm:f>'Filter criteria'!$G$2:$G$17</xm:f>
          </x14:formula1>
          <xm:sqref>B16:B18</xm:sqref>
        </x14:dataValidation>
        <x14:dataValidation type="list" allowBlank="1" showInputMessage="1" showErrorMessage="1" xr:uid="{645ADAC3-77F9-49BC-8307-BE28359555A0}">
          <x14:formula1>
            <xm:f>'Filter criteria'!$E$2:$E$9</xm:f>
          </x14:formula1>
          <xm:sqref>C16:C18</xm:sqref>
        </x14:dataValidation>
        <x14:dataValidation type="list" allowBlank="1" showInputMessage="1" showErrorMessage="1" xr:uid="{7290F895-C0D0-4056-8459-EC1876C6365C}">
          <x14:formula1>
            <xm:f>'Filter criteria'!$K$2:$K$7</xm:f>
          </x14:formula1>
          <xm:sqref>D16:D18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32A9F9-F84B-4710-A091-6DA258B53960}">
  <sheetPr codeName="Tabelle8"/>
  <dimension ref="A1:Y537"/>
  <sheetViews>
    <sheetView zoomScale="80" zoomScaleNormal="80" workbookViewId="0">
      <pane ySplit="3" topLeftCell="A4" activePane="bottomLeft" state="frozen"/>
      <selection pane="bottomLeft" sqref="A1:H1"/>
    </sheetView>
  </sheetViews>
  <sheetFormatPr defaultColWidth="8.7265625" defaultRowHeight="14.5" outlineLevelCol="4" x14ac:dyDescent="0.35"/>
  <cols>
    <col min="1" max="1" width="6.6328125" style="9" customWidth="1"/>
    <col min="2" max="3" width="18.08984375" style="9" hidden="1" customWidth="1" outlineLevel="1"/>
    <col min="4" max="4" width="10.81640625" style="9" customWidth="1" collapsed="1"/>
    <col min="5" max="7" width="18.08984375" style="9" hidden="1" customWidth="1" outlineLevel="1"/>
    <col min="8" max="8" width="13.08984375" style="9" customWidth="1" collapsed="1"/>
    <col min="9" max="9" width="17.54296875" style="12" customWidth="1"/>
    <col min="10" max="10" width="42.36328125" style="9" customWidth="1"/>
    <col min="11" max="11" width="11.81640625" style="9" customWidth="1"/>
    <col min="12" max="12" width="7.08984375" style="9" customWidth="1"/>
    <col min="13" max="13" width="7.54296875" style="9" customWidth="1"/>
    <col min="14" max="14" width="9.453125" style="9" customWidth="1"/>
    <col min="15" max="15" width="11.7265625" style="9" hidden="1" customWidth="1" outlineLevel="2"/>
    <col min="16" max="16" width="12.7265625" style="9" hidden="1" customWidth="1" outlineLevel="4"/>
    <col min="17" max="17" width="13" style="9" hidden="1" customWidth="1" outlineLevel="4"/>
    <col min="18" max="19" width="12.7265625" style="9" hidden="1" customWidth="1" outlineLevel="4"/>
    <col min="20" max="20" width="14.90625" style="9" customWidth="1" collapsed="1"/>
    <col min="21" max="22" width="15.36328125" style="9" customWidth="1"/>
    <col min="23" max="23" width="15.26953125" style="23" customWidth="1"/>
    <col min="24" max="24" width="10.26953125" style="9" customWidth="1"/>
  </cols>
  <sheetData>
    <row r="1" spans="1:24" ht="30.5" customHeight="1" x14ac:dyDescent="0.35">
      <c r="A1" s="45" t="s">
        <v>967</v>
      </c>
      <c r="B1" s="45"/>
      <c r="C1" s="45"/>
      <c r="D1" s="45"/>
      <c r="E1" s="45"/>
      <c r="F1" s="45"/>
      <c r="G1" s="45"/>
      <c r="H1" s="45"/>
      <c r="I1" s="46" t="s">
        <v>1077</v>
      </c>
      <c r="J1" s="46"/>
      <c r="K1" s="46"/>
      <c r="L1" s="46"/>
      <c r="M1" s="47" t="s">
        <v>4</v>
      </c>
      <c r="N1" s="47"/>
      <c r="O1" s="47"/>
      <c r="P1" s="48" t="s">
        <v>1841</v>
      </c>
      <c r="Q1" s="48"/>
      <c r="R1" s="48"/>
      <c r="S1" s="48"/>
      <c r="T1" s="39" t="s">
        <v>1852</v>
      </c>
      <c r="U1" s="39"/>
      <c r="V1" s="39"/>
      <c r="W1" s="39"/>
      <c r="X1" s="39"/>
    </row>
    <row r="2" spans="1:24" ht="58" x14ac:dyDescent="0.35">
      <c r="A2" s="40" t="s">
        <v>1842</v>
      </c>
      <c r="B2" s="41"/>
      <c r="C2" s="41"/>
      <c r="D2" s="41"/>
      <c r="E2" s="41"/>
      <c r="F2" s="41"/>
      <c r="G2" s="41"/>
      <c r="H2" s="41"/>
      <c r="I2" s="42" t="s">
        <v>1843</v>
      </c>
      <c r="J2" s="42"/>
      <c r="K2" s="42"/>
      <c r="L2" s="42"/>
      <c r="M2" s="43" t="s">
        <v>1849</v>
      </c>
      <c r="N2" s="43"/>
      <c r="O2" s="43"/>
      <c r="P2" s="44" t="s">
        <v>1854</v>
      </c>
      <c r="Q2" s="44"/>
      <c r="R2" s="44"/>
      <c r="S2" s="44"/>
      <c r="T2" s="16" t="s">
        <v>1888</v>
      </c>
      <c r="U2" s="16" t="s">
        <v>1845</v>
      </c>
      <c r="V2" s="16" t="s">
        <v>1846</v>
      </c>
      <c r="W2" s="16" t="s">
        <v>1847</v>
      </c>
      <c r="X2" s="16" t="s">
        <v>1848</v>
      </c>
    </row>
    <row r="3" spans="1:24" s="21" customFormat="1" ht="29" x14ac:dyDescent="0.35">
      <c r="A3" s="8" t="s">
        <v>0</v>
      </c>
      <c r="B3" s="8" t="s">
        <v>1076</v>
      </c>
      <c r="C3" s="8" t="s">
        <v>1</v>
      </c>
      <c r="D3" s="8" t="s">
        <v>1192</v>
      </c>
      <c r="E3" s="8" t="s">
        <v>2</v>
      </c>
      <c r="F3" s="8" t="s">
        <v>3</v>
      </c>
      <c r="G3" s="8" t="s">
        <v>1087</v>
      </c>
      <c r="H3" s="8" t="s">
        <v>1193</v>
      </c>
      <c r="I3" s="11" t="s">
        <v>1836</v>
      </c>
      <c r="J3" s="8" t="s">
        <v>1856</v>
      </c>
      <c r="K3" s="8" t="s">
        <v>1860</v>
      </c>
      <c r="L3" s="8" t="s">
        <v>1242</v>
      </c>
      <c r="M3" s="8" t="s">
        <v>1850</v>
      </c>
      <c r="N3" s="8" t="s">
        <v>1210</v>
      </c>
      <c r="O3" s="8" t="s">
        <v>4</v>
      </c>
      <c r="P3" s="8" t="s">
        <v>1835</v>
      </c>
      <c r="Q3" s="8" t="s">
        <v>5</v>
      </c>
      <c r="R3" s="8" t="s">
        <v>1863</v>
      </c>
      <c r="S3" s="8" t="s">
        <v>1862</v>
      </c>
      <c r="T3" s="8" t="s">
        <v>1832</v>
      </c>
      <c r="U3" s="8" t="s">
        <v>1859</v>
      </c>
      <c r="V3" s="8" t="s">
        <v>1861</v>
      </c>
      <c r="W3" s="24" t="s">
        <v>1855</v>
      </c>
      <c r="X3" s="8" t="s">
        <v>1209</v>
      </c>
    </row>
    <row r="4" spans="1:24" ht="51.5" customHeight="1" x14ac:dyDescent="0.35">
      <c r="A4" s="9" t="str" cm="1">
        <f t="array" ref="A4:S460">_xlfn._xlws.FILTER('3b. Full List'!A4:S460,
((ISNUMBER(SEARCH('1. &amp; 2. Start'!B10,'3b. Full List'!P4:P460))+
IF('1. &amp; 2. Start'!B11="",0,ISNUMBER(SEARCH('1. &amp; 2. Start'!B11,'3b. Full List'!P4:P460)))
+IF('1. &amp; 2. Start'!B12="",0,ISNUMBER(SEARCH('1. &amp; 2. Start'!B12,'3b. Full List'!P4:P460))))&gt;0)*
((ISNUMBER(SEARCH('1. &amp; 2. Start'!B16,'3b. Full List'!Q4:Q460))+
IF('1. &amp; 2. Start'!B17="",0,ISNUMBER(SEARCH('1. &amp; 2. Start'!B17,'3b. Full List'!Q4:Q460)))
+IF('1. &amp; 2. Start'!B18="",0,ISNUMBER(SEARCH('1. &amp; 2. Start'!B18,'3b. Full List'!Q4:Q460))))&gt;0)*
((ISNUMBER(SEARCH('1. &amp; 2. Start'!C16,'3b. Full List'!R4:R460))+
IF('1. &amp; 2. Start'!C17="",0,ISNUMBER(SEARCH('1. &amp; 2. Start'!C17,'3b. Full List'!R4:R460)))
+IF('1. &amp; 2. Start'!C18="",0,ISNUMBER(SEARCH('1. &amp; 2. Start'!C18,'3b. Full List'!R4:R460))))&gt;0)*
((ISNUMBER(SEARCH('1. &amp; 2. Start'!D16,'3b. Full List'!S4:S460))+
IF('1. &amp; 2. Start'!D17="",0,ISNUMBER(SEARCH('1. &amp; 2. Start'!D17,'3b. Full List'!S4:S460)))
+IF('1. &amp; 2. Start'!D18="",0,ISNUMBER(SEARCH('1. &amp; 2. Start'!D18,'3b. Full List'!S4:S460))))&gt;0),
"None of the indicators matched your criteria. Please try a different combination.")</f>
        <v>11-001</v>
      </c>
      <c r="B4" s="9" t="str">
        <v>Input</v>
      </c>
      <c r="C4" s="9" t="str">
        <v>Material</v>
      </c>
      <c r="D4" s="9" t="str">
        <v>Input - Material</v>
      </c>
      <c r="E4" s="9">
        <v>0</v>
      </c>
      <c r="F4" s="9" t="str">
        <v>x</v>
      </c>
      <c r="G4" s="9" t="str">
        <v>Resource Use &amp; Circular Economy</v>
      </c>
      <c r="H4" s="9" t="str">
        <v>Environmental - Resource Use &amp; Circular Economy</v>
      </c>
      <c r="I4" s="12" t="str">
        <v>Material consumption</v>
      </c>
      <c r="J4" s="9" t="str">
        <v>This indicator measures the total weight or volume of materials consumed. It includes all raw materials and processed materials.</v>
      </c>
      <c r="K4" s="9" t="str">
        <v>Quantitative</v>
      </c>
      <c r="L4" s="9" t="str">
        <v>unit of mass</v>
      </c>
      <c r="M4" s="9" t="str">
        <v>301-1</v>
      </c>
      <c r="N4" s="9">
        <v>18</v>
      </c>
      <c r="O4" s="9" t="str">
        <v>Amrina &amp; Vilsi 2015; Azapagic &amp; Perdan 2000; Barni et al. 2022; Cagno et al. 2019; Dočekalová &amp; Kocmanová 2016; Fan et al. 2010; Gani et al. 2021; Hartini et al. 2020; Kravchenko et al. 2019; Lee et al. 2014; Li et al. 2012; Madanchi et al. 2019; Mengistu &amp; Panizzolo 2021; Mengistu &amp; Panizzolo 2023a; Mengistu &amp; Panizzolo 2023b; Park &amp; Kremer 2017; Pusporini &amp; Vanany 2019; EMAS</v>
      </c>
      <c r="P4" s="9" t="str">
        <v>Company; Factory; Production line</v>
      </c>
      <c r="Q4" s="9" t="str">
        <v>13 Manufacture of textiles; 15 Manufacture of leather and related products; 23 Manufacture of other non-metallic mineral products; 24 Manufacture of basic metals; 26 Manufacture of computer, electronic and optical products; 27 Manufacture of electrical equipment; 28 Manufacture of machinery and equipment n.e.c.; 29 Manufacture of motor vehicles, trailers and semi-trailers; 31 Manufacture of furniture; not specified</v>
      </c>
      <c r="R4" s="9" t="str">
        <v>Transforming; Separating; Joining; Coating and finishing; not specified</v>
      </c>
      <c r="S4" s="9" t="str">
        <v>Micro; Small; Medium; Large; not specified</v>
      </c>
    </row>
    <row r="5" spans="1:24" ht="51.5" customHeight="1" x14ac:dyDescent="0.35">
      <c r="A5" s="9" t="str">
        <v>11-002</v>
      </c>
      <c r="B5" s="9" t="str">
        <v>Input</v>
      </c>
      <c r="C5" s="9" t="str">
        <v>Material</v>
      </c>
      <c r="D5" s="9" t="str">
        <v>Input - Material</v>
      </c>
      <c r="E5" s="9">
        <v>0</v>
      </c>
      <c r="F5" s="9" t="str">
        <v>x</v>
      </c>
      <c r="G5" s="9" t="str">
        <v>Resource Use &amp; Circular Economy</v>
      </c>
      <c r="H5" s="9" t="str">
        <v>Environmental - Resource Use &amp; Circular Economy</v>
      </c>
      <c r="I5" s="12" t="str">
        <v>Material intensity</v>
      </c>
      <c r="J5" s="9" t="str">
        <v>This indicator measures the ratio of the mass of material input to a normalization factor (NF). The NF can, e.g., be the number of units produced.</v>
      </c>
      <c r="K5" s="9" t="str">
        <v>Quantitative</v>
      </c>
      <c r="L5" s="9" t="str">
        <v>unit of mass/NF</v>
      </c>
      <c r="M5" s="9" t="str">
        <v>-</v>
      </c>
      <c r="N5" s="9">
        <v>9</v>
      </c>
      <c r="O5" s="9" t="str">
        <v>Barni et al. 2022; Fan et al. 2010; Huang &amp; Badurdeen 2017; Kaldas et al. 2021; Kravchenko et al. 2019; Rao et al. 2006; Singh et al. 2014; Winroth et al. 2016; ISO14031</v>
      </c>
      <c r="P5" s="9" t="str">
        <v>Company; Factory</v>
      </c>
      <c r="Q5" s="9" t="str">
        <v>13 Manufacture of textiles; 25 Manufacture of fabricated metal products, except machinery and equipment; 26 Manufacture of computer, electronic and optical products; 27 Manufacture of electrical equipment; 28 Manufacture of machinery and equipment n.e.c.; 29 Manufacture of motor vehicles, trailers and semi-trailers; 31 Manufacture of furniture; 32 Other manufacturing; not specified</v>
      </c>
      <c r="R5" s="9" t="str">
        <v>Original forming; Joining; Coating and finishing; Change of material properties; not specified</v>
      </c>
      <c r="S5" s="9" t="str">
        <v>Micro; Small; Medium; Large; not specified</v>
      </c>
    </row>
    <row r="6" spans="1:24" ht="51.5" customHeight="1" x14ac:dyDescent="0.35">
      <c r="A6" s="9" t="str">
        <v>11-003</v>
      </c>
      <c r="B6" s="9" t="str">
        <v>Input</v>
      </c>
      <c r="C6" s="9" t="str">
        <v>Material</v>
      </c>
      <c r="D6" s="9" t="str">
        <v>Input - Material</v>
      </c>
      <c r="E6" s="9">
        <v>0</v>
      </c>
      <c r="F6" s="9" t="str">
        <v>x</v>
      </c>
      <c r="G6" s="9" t="str">
        <v>Resource Use &amp; Circular Economy</v>
      </c>
      <c r="H6" s="9" t="str">
        <v>Environmental - Resource Use &amp; Circular Economy</v>
      </c>
      <c r="I6" s="12" t="str">
        <v>Material efficiency</v>
      </c>
      <c r="J6" s="9" t="str">
        <v>This indicator measures the ratio of total (useful) product output to material input.</v>
      </c>
      <c r="K6" s="9" t="str">
        <v>Quantitative</v>
      </c>
      <c r="L6" s="9" t="str">
        <v>%</v>
      </c>
      <c r="M6" s="9" t="str">
        <v>-</v>
      </c>
      <c r="N6" s="9">
        <v>5</v>
      </c>
      <c r="O6" s="9" t="str">
        <v>Huang &amp; Badurdeen 2018; Kibira et al. 2018; Park &amp; Kremer 2017; Syu et al. 2022; Taddese et al. 2020</v>
      </c>
      <c r="P6" s="9" t="str">
        <v>Company; Factory; Production line; Process</v>
      </c>
      <c r="Q6" s="9" t="str">
        <v>22 Manufacture of rubber and plastic products; 25 Manufacture of fabricated metal products, except machinery and equipment; 26 Manufacture of computer, electronic and optical products; not specified</v>
      </c>
      <c r="R6" s="9" t="str">
        <v>Original forming; Separating; Joining; Coating and finishing; Change of material properties; not specified</v>
      </c>
      <c r="S6" s="9" t="str">
        <v>not specified</v>
      </c>
    </row>
    <row r="7" spans="1:24" ht="51.5" customHeight="1" x14ac:dyDescent="0.35">
      <c r="A7" s="9" t="str">
        <v>11-004</v>
      </c>
      <c r="B7" s="9" t="str">
        <v>Input</v>
      </c>
      <c r="C7" s="9" t="str">
        <v>Material</v>
      </c>
      <c r="D7" s="9" t="str">
        <v>Input - Material</v>
      </c>
      <c r="E7" s="9" t="str">
        <v>x</v>
      </c>
      <c r="F7" s="9">
        <v>0</v>
      </c>
      <c r="G7" s="9" t="str">
        <v>Cost</v>
      </c>
      <c r="H7" s="9" t="str">
        <v>Economic - Cost</v>
      </c>
      <c r="I7" s="12" t="str">
        <v>Material cost</v>
      </c>
      <c r="J7" s="9" t="str">
        <v>This indicator measures the cost of all input materials.</v>
      </c>
      <c r="K7" s="9" t="str">
        <v>Quantitative</v>
      </c>
      <c r="L7" s="9" t="str">
        <v>€</v>
      </c>
      <c r="M7" s="9" t="str">
        <v>-</v>
      </c>
      <c r="N7" s="9">
        <v>8</v>
      </c>
      <c r="O7" s="9" t="str">
        <v>Amrina &amp; Vilsi 2015; Amrina &amp; Yusof 2011; Huang &amp; Badurdeen 2017; Kravchenko et al. 2019; Mengistu &amp; Panizzolo 2021; Mengistu &amp; Panizzolo 2023a; Mengistu &amp; Panizzolo 2023b; Tan et al. 2015</v>
      </c>
      <c r="P7" s="9" t="str">
        <v>Company; Factory</v>
      </c>
      <c r="Q7" s="9" t="str">
        <v>13 Manufacture of textiles; 15 Manufacture of leather and related products; 23 Manufacture of other non-metallic mineral products; 26 Manufacture of computer, electronic and optical products; 28 Manufacture of machinery and equipment n.e.c.; 29 Manufacture of motor vehicles, trailers and semi-trailers; 31 Manufacture of furniture; not specified</v>
      </c>
      <c r="R7" s="9" t="str">
        <v>Original forming; Joining; Coating and finishing; Change of material properties; not specified</v>
      </c>
      <c r="S7" s="9" t="str">
        <v>Micro; Small; Medium; Large; not specified</v>
      </c>
    </row>
    <row r="8" spans="1:24" ht="51.5" customHeight="1" x14ac:dyDescent="0.35">
      <c r="A8" s="9" t="str">
        <v>11-005</v>
      </c>
      <c r="B8" s="9" t="str">
        <v>Input</v>
      </c>
      <c r="C8" s="9" t="str">
        <v>Material</v>
      </c>
      <c r="D8" s="9" t="str">
        <v>Input - Material</v>
      </c>
      <c r="E8" s="9">
        <v>0</v>
      </c>
      <c r="F8" s="9" t="str">
        <v>x</v>
      </c>
      <c r="G8" s="9" t="str">
        <v>Resource Use &amp; Circular Economy</v>
      </c>
      <c r="H8" s="9" t="str">
        <v>Environmental - Resource Use &amp; Circular Economy</v>
      </c>
      <c r="I8" s="12" t="str">
        <v>Material utilization</v>
      </c>
      <c r="J8" s="9" t="str">
        <v>This indicator measures the ratio of the total material input minus waste to the total material input.</v>
      </c>
      <c r="K8" s="9" t="str">
        <v>Quantitative</v>
      </c>
      <c r="L8" s="9" t="str">
        <v>%</v>
      </c>
      <c r="M8" s="9" t="str">
        <v>-</v>
      </c>
      <c r="N8" s="9">
        <v>2</v>
      </c>
      <c r="O8" s="9" t="str">
        <v>Brown et al. 2014; Eastwood &amp; Haapala 2015</v>
      </c>
      <c r="P8" s="9" t="str">
        <v>Production line; Work cell; Process</v>
      </c>
      <c r="Q8" s="9" t="str">
        <v>25 Manufacture of fabricated metal products, except machinery and equipment; 26 Manufacture of computer, electronic and optical products; 30 Manufacture of other transport equipment</v>
      </c>
      <c r="R8" s="9" t="str">
        <v>Separating; Joining; Coating and finishing; Change of material properties</v>
      </c>
      <c r="S8" s="9" t="str">
        <v>Large; not specified</v>
      </c>
    </row>
    <row r="9" spans="1:24" ht="51.5" customHeight="1" x14ac:dyDescent="0.35">
      <c r="A9" s="9" t="str">
        <v>11-006</v>
      </c>
      <c r="B9" s="9" t="str">
        <v>Input</v>
      </c>
      <c r="C9" s="9" t="str">
        <v>Material</v>
      </c>
      <c r="D9" s="9" t="str">
        <v>Input - Material</v>
      </c>
      <c r="E9" s="9">
        <v>0</v>
      </c>
      <c r="F9" s="9" t="str">
        <v>x</v>
      </c>
      <c r="G9" s="9" t="str">
        <v>Resource Use &amp; Circular Economy</v>
      </c>
      <c r="H9" s="9" t="str">
        <v>Environmental - Resource Use &amp; Circular Economy</v>
      </c>
      <c r="I9" s="12" t="str">
        <v>Cotton textile consumption</v>
      </c>
      <c r="J9" s="9" t="str">
        <v>This indicator measures the total weight of cotton textile consumed.</v>
      </c>
      <c r="K9" s="9" t="str">
        <v>Quantitative</v>
      </c>
      <c r="L9" s="9" t="str">
        <v>unit of mass</v>
      </c>
      <c r="M9" s="9" t="str">
        <v>-</v>
      </c>
      <c r="N9" s="9">
        <v>1</v>
      </c>
      <c r="O9" s="9" t="str">
        <v>Herva et al. 2008</v>
      </c>
      <c r="P9" s="9" t="str">
        <v>Factory</v>
      </c>
      <c r="Q9" s="9" t="str">
        <v>14 Manufacture of wearing apparel</v>
      </c>
      <c r="R9" s="9" t="str">
        <v>Transforming; Separating; Coating and finishing</v>
      </c>
      <c r="S9" s="9" t="str">
        <v>not specified</v>
      </c>
    </row>
    <row r="10" spans="1:24" ht="51.5" customHeight="1" x14ac:dyDescent="0.35">
      <c r="A10" s="9" t="str">
        <v>11-007</v>
      </c>
      <c r="B10" s="9" t="str">
        <v>Input</v>
      </c>
      <c r="C10" s="9" t="str">
        <v>Material</v>
      </c>
      <c r="D10" s="9" t="str">
        <v>Input - Material</v>
      </c>
      <c r="E10" s="9">
        <v>0</v>
      </c>
      <c r="F10" s="9" t="str">
        <v>x</v>
      </c>
      <c r="G10" s="9" t="str">
        <v>Resource Use &amp; Circular Economy</v>
      </c>
      <c r="H10" s="9" t="str">
        <v>Environmental - Resource Use &amp; Circular Economy</v>
      </c>
      <c r="I10" s="12" t="str">
        <v>Metal consumption</v>
      </c>
      <c r="J10" s="9" t="str">
        <v>This indicator measures the total weight of metals and minerals consumed.</v>
      </c>
      <c r="K10" s="9" t="str">
        <v>Quantitative</v>
      </c>
      <c r="L10" s="9" t="str">
        <v>unit of mass</v>
      </c>
      <c r="M10" s="9" t="str">
        <v>-</v>
      </c>
      <c r="N10" s="9">
        <v>1</v>
      </c>
      <c r="O10" s="9" t="str">
        <v>Herva et al. 2008</v>
      </c>
      <c r="P10" s="9" t="str">
        <v>Factory</v>
      </c>
      <c r="Q10" s="9" t="str">
        <v>14 Manufacture of wearing apparel</v>
      </c>
      <c r="R10" s="9" t="str">
        <v>Transforming; Separating; Coating and finishing</v>
      </c>
      <c r="S10" s="9" t="str">
        <v>not specified</v>
      </c>
    </row>
    <row r="11" spans="1:24" ht="51.5" customHeight="1" x14ac:dyDescent="0.35">
      <c r="A11" s="9" t="str">
        <v>11-008</v>
      </c>
      <c r="B11" s="9" t="str">
        <v>Input</v>
      </c>
      <c r="C11" s="9" t="str">
        <v>Material</v>
      </c>
      <c r="D11" s="9" t="str">
        <v>Input - Material</v>
      </c>
      <c r="E11" s="9">
        <v>0</v>
      </c>
      <c r="F11" s="9" t="str">
        <v>x</v>
      </c>
      <c r="G11" s="9" t="str">
        <v>Resource Use &amp; Circular Economy</v>
      </c>
      <c r="H11" s="9" t="str">
        <v>Environmental - Resource Use &amp; Circular Economy</v>
      </c>
      <c r="I11" s="12" t="str">
        <v>Paper and cardboard consumption</v>
      </c>
      <c r="J11" s="9" t="str">
        <v>This indicator measures the total weight of paper and cardboard consumed.</v>
      </c>
      <c r="K11" s="9" t="str">
        <v>Quantitative</v>
      </c>
      <c r="L11" s="9" t="str">
        <v>unit of mass</v>
      </c>
      <c r="M11" s="9" t="str">
        <v>-</v>
      </c>
      <c r="N11" s="9">
        <v>1</v>
      </c>
      <c r="O11" s="9" t="str">
        <v>Herva et al. 2008</v>
      </c>
      <c r="P11" s="9" t="str">
        <v>Factory</v>
      </c>
      <c r="Q11" s="9" t="str">
        <v>14 Manufacture of wearing apparel</v>
      </c>
      <c r="R11" s="9" t="str">
        <v>Transforming; Separating; Coating and finishing</v>
      </c>
      <c r="S11" s="9" t="str">
        <v>not specified</v>
      </c>
    </row>
    <row r="12" spans="1:24" ht="51.5" customHeight="1" x14ac:dyDescent="0.35">
      <c r="A12" s="9" t="str">
        <v>11-009</v>
      </c>
      <c r="B12" s="9" t="str">
        <v>Input</v>
      </c>
      <c r="C12" s="9" t="str">
        <v>Material</v>
      </c>
      <c r="D12" s="9" t="str">
        <v>Input - Material</v>
      </c>
      <c r="E12" s="9">
        <v>0</v>
      </c>
      <c r="F12" s="9" t="str">
        <v>x</v>
      </c>
      <c r="G12" s="9" t="str">
        <v>Resource Use &amp; Circular Economy</v>
      </c>
      <c r="H12" s="9" t="str">
        <v>Environmental - Resource Use &amp; Circular Economy</v>
      </c>
      <c r="I12" s="12" t="str">
        <v>Plastic consumption</v>
      </c>
      <c r="J12" s="9" t="str">
        <v>This indicator measures the total weight of plastic consumed.</v>
      </c>
      <c r="K12" s="9" t="str">
        <v>Quantitative</v>
      </c>
      <c r="L12" s="9" t="str">
        <v>unit of mass</v>
      </c>
      <c r="M12" s="9" t="str">
        <v>-</v>
      </c>
      <c r="N12" s="9">
        <v>1</v>
      </c>
      <c r="O12" s="9" t="str">
        <v>Herva et al. 2008</v>
      </c>
      <c r="P12" s="9" t="str">
        <v>Factory</v>
      </c>
      <c r="Q12" s="9" t="str">
        <v>14 Manufacture of wearing apparel</v>
      </c>
      <c r="R12" s="9" t="str">
        <v>Transforming; Separating; Coating and finishing</v>
      </c>
      <c r="S12" s="9" t="str">
        <v>not specified</v>
      </c>
    </row>
    <row r="13" spans="1:24" ht="51.5" customHeight="1" x14ac:dyDescent="0.35">
      <c r="A13" s="9" t="str">
        <v>11-010</v>
      </c>
      <c r="B13" s="9" t="str">
        <v>Input</v>
      </c>
      <c r="C13" s="9" t="str">
        <v>Material</v>
      </c>
      <c r="D13" s="9" t="str">
        <v>Input - Material</v>
      </c>
      <c r="E13" s="9">
        <v>0</v>
      </c>
      <c r="F13" s="9" t="str">
        <v>x</v>
      </c>
      <c r="G13" s="9" t="str">
        <v>Resource Use &amp; Circular Economy</v>
      </c>
      <c r="H13" s="9" t="str">
        <v>Environmental - Resource Use &amp; Circular Economy</v>
      </c>
      <c r="I13" s="12" t="str">
        <v>Polystyrene foam consumption</v>
      </c>
      <c r="J13" s="9" t="str">
        <v>This indicator measures the total volume of polystyrene foam consumed to all materials consumed.</v>
      </c>
      <c r="K13" s="9" t="str">
        <v>Quantitative</v>
      </c>
      <c r="L13" s="9" t="str">
        <v>%</v>
      </c>
      <c r="M13" s="9" t="str">
        <v>-</v>
      </c>
      <c r="N13" s="9">
        <v>1</v>
      </c>
      <c r="O13" s="9" t="str">
        <v>Kravchenko et al. 2019</v>
      </c>
      <c r="P13" s="9" t="str">
        <v>Company</v>
      </c>
      <c r="Q13" s="9" t="str">
        <v>13 Manufacture of textiles; 28 Manufacture of machinery and equipment n.e.c.; 31 Manufacture of furniture</v>
      </c>
      <c r="R13" s="9" t="str">
        <v>not specified</v>
      </c>
      <c r="S13" s="9" t="str">
        <v>Micro; Large</v>
      </c>
    </row>
    <row r="14" spans="1:24" ht="51.5" customHeight="1" x14ac:dyDescent="0.35">
      <c r="A14" s="9" t="str">
        <v>11-011</v>
      </c>
      <c r="B14" s="9" t="str">
        <v>Input</v>
      </c>
      <c r="C14" s="9" t="str">
        <v>Material</v>
      </c>
      <c r="D14" s="9" t="str">
        <v>Input - Material</v>
      </c>
      <c r="E14" s="9">
        <v>0</v>
      </c>
      <c r="F14" s="9" t="str">
        <v>x</v>
      </c>
      <c r="G14" s="9" t="str">
        <v>Resource Use &amp; Circular Economy</v>
      </c>
      <c r="H14" s="9" t="str">
        <v>Environmental - Resource Use &amp; Circular Economy</v>
      </c>
      <c r="I14" s="12" t="str">
        <v>Synthetic stitch consumption</v>
      </c>
      <c r="J14" s="9" t="str">
        <v>This indicator measures the total length of synthetic stitch consumed.</v>
      </c>
      <c r="K14" s="9" t="str">
        <v>Quantitative</v>
      </c>
      <c r="L14" s="9" t="str">
        <v>m</v>
      </c>
      <c r="M14" s="9" t="str">
        <v>-</v>
      </c>
      <c r="N14" s="9">
        <v>1</v>
      </c>
      <c r="O14" s="9" t="str">
        <v>Herva et al. 2008</v>
      </c>
      <c r="P14" s="9" t="str">
        <v>Factory</v>
      </c>
      <c r="Q14" s="9" t="str">
        <v>14 Manufacture of wearing apparel</v>
      </c>
      <c r="R14" s="9" t="str">
        <v>Transforming; Separating; Coating and finishing</v>
      </c>
      <c r="S14" s="9" t="str">
        <v>not specified</v>
      </c>
    </row>
    <row r="15" spans="1:24" ht="51.5" customHeight="1" x14ac:dyDescent="0.35">
      <c r="A15" s="9" t="str">
        <v>11-012</v>
      </c>
      <c r="B15" s="9" t="str">
        <v>Input</v>
      </c>
      <c r="C15" s="9" t="str">
        <v>Material</v>
      </c>
      <c r="D15" s="9" t="str">
        <v>Input - Material</v>
      </c>
      <c r="E15" s="9">
        <v>0</v>
      </c>
      <c r="F15" s="9" t="str">
        <v>x</v>
      </c>
      <c r="G15" s="9" t="str">
        <v>Resource Use &amp; Circular Economy</v>
      </c>
      <c r="H15" s="9" t="str">
        <v>Environmental - Resource Use &amp; Circular Economy</v>
      </c>
      <c r="I15" s="12" t="str">
        <v>Wood consumption (non-energy)</v>
      </c>
      <c r="J15" s="9" t="str">
        <v>This indicator measures the total volume of wood consumed.</v>
      </c>
      <c r="K15" s="9" t="str">
        <v>Quantitative</v>
      </c>
      <c r="L15" s="9" t="str">
        <v>m²</v>
      </c>
      <c r="M15" s="9" t="str">
        <v>-</v>
      </c>
      <c r="N15" s="9">
        <v>1</v>
      </c>
      <c r="O15" s="9" t="str">
        <v>Herva et al. 2008</v>
      </c>
      <c r="P15" s="9" t="str">
        <v>Factory</v>
      </c>
      <c r="Q15" s="9" t="str">
        <v>14 Manufacture of wearing apparel</v>
      </c>
      <c r="R15" s="9" t="str">
        <v>Transforming; Separating; Coating and finishing</v>
      </c>
      <c r="S15" s="9" t="str">
        <v>not specified</v>
      </c>
    </row>
    <row r="16" spans="1:24" ht="51.5" customHeight="1" x14ac:dyDescent="0.35">
      <c r="A16" s="9" t="str">
        <v>11-013</v>
      </c>
      <c r="B16" s="9" t="str">
        <v>Input</v>
      </c>
      <c r="C16" s="9" t="str">
        <v>Material</v>
      </c>
      <c r="D16" s="9" t="str">
        <v>Input - Material</v>
      </c>
      <c r="E16" s="9">
        <v>0</v>
      </c>
      <c r="F16" s="9" t="str">
        <v>x</v>
      </c>
      <c r="G16" s="9" t="str">
        <v>Resource Use &amp; Circular Economy</v>
      </c>
      <c r="H16" s="9" t="str">
        <v>Environmental - Resource Use &amp; Circular Economy</v>
      </c>
      <c r="I16" s="12" t="str">
        <v>Wool textile consumption</v>
      </c>
      <c r="J16" s="9" t="str">
        <v>This indicator measures the total weight of wool textile consumed.</v>
      </c>
      <c r="K16" s="9" t="str">
        <v>Quantitative</v>
      </c>
      <c r="L16" s="9" t="str">
        <v>unit of mass</v>
      </c>
      <c r="M16" s="9" t="str">
        <v>-</v>
      </c>
      <c r="N16" s="9">
        <v>1</v>
      </c>
      <c r="O16" s="9" t="str">
        <v>Herva et al. 2008</v>
      </c>
      <c r="P16" s="9" t="str">
        <v>Factory</v>
      </c>
      <c r="Q16" s="9" t="str">
        <v>14 Manufacture of wearing apparel</v>
      </c>
      <c r="R16" s="9" t="str">
        <v>Transforming; Separating; Coating and finishing</v>
      </c>
      <c r="S16" s="9" t="str">
        <v>not specified</v>
      </c>
    </row>
    <row r="17" spans="1:19" ht="59.5" customHeight="1" x14ac:dyDescent="0.35">
      <c r="A17" s="9" t="str">
        <v>11-014</v>
      </c>
      <c r="B17" s="9" t="str">
        <v>Input</v>
      </c>
      <c r="C17" s="9" t="str">
        <v>Material</v>
      </c>
      <c r="D17" s="9" t="str">
        <v>Input - Material</v>
      </c>
      <c r="E17" s="9">
        <v>0</v>
      </c>
      <c r="F17" s="9" t="str">
        <v>x</v>
      </c>
      <c r="G17" s="9" t="str">
        <v>Resource Use &amp; Circular Economy</v>
      </c>
      <c r="H17" s="9" t="str">
        <v>Environmental - Resource Use &amp; Circular Economy</v>
      </c>
      <c r="I17" s="12" t="str">
        <v>Raw material consumption</v>
      </c>
      <c r="J17" s="9" t="str">
        <v>This indicator measures the total weight or volume of raw materials consumed.</v>
      </c>
      <c r="K17" s="9" t="str">
        <v>Quantitative</v>
      </c>
      <c r="L17" s="9" t="str">
        <v>unit of mass</v>
      </c>
      <c r="M17" s="9" t="str">
        <v>-</v>
      </c>
      <c r="N17" s="9">
        <v>9</v>
      </c>
      <c r="O17" s="9" t="str">
        <v>Cagno et al. 2023; Dočekalová &amp; Kocmanová 2016; Feil et al. 2019; Huang &amp; Badurdeen 2018; Jiang et al. 2012; Paju et al. 2011; Soltani et al. 2019; Swarnakar et al. 2022; Vinodh et al. 2016</v>
      </c>
      <c r="P17" s="9" t="str">
        <v>Company; Factory; Production line; Process</v>
      </c>
      <c r="Q17" s="9" t="str">
        <v>23 Manufacture of other non-metallic mineral products; 25 Manufacture of fabricated metal products, except machinery and equipment; 26 Manufacture of computer, electronic and optical products; 27 Manufacture of electrical equipment; 29 Manufacture of motor vehicles, trailers and semi-trailers; 31 Manufacture of furniture; not specified</v>
      </c>
      <c r="R17" s="9" t="str">
        <v>Original forming; Transforming; Separating; Joining; Coating and finishing; Change of material properties; not specified</v>
      </c>
      <c r="S17" s="9" t="str">
        <v>Small; Medium; Large; not specified</v>
      </c>
    </row>
    <row r="18" spans="1:19" ht="51.5" customHeight="1" x14ac:dyDescent="0.35">
      <c r="A18" s="9" t="str">
        <v>11-015</v>
      </c>
      <c r="B18" s="9" t="str">
        <v>Input</v>
      </c>
      <c r="C18" s="9" t="str">
        <v>Material</v>
      </c>
      <c r="D18" s="9" t="str">
        <v>Input - Material</v>
      </c>
      <c r="E18" s="9">
        <v>0</v>
      </c>
      <c r="F18" s="9" t="str">
        <v>x</v>
      </c>
      <c r="G18" s="9" t="str">
        <v>Resource Use &amp; Circular Economy</v>
      </c>
      <c r="H18" s="9" t="str">
        <v>Environmental - Resource Use &amp; Circular Economy</v>
      </c>
      <c r="I18" s="12" t="str">
        <v>Raw material intensity</v>
      </c>
      <c r="J18" s="9" t="str">
        <v>This indicator measures the ratio of the mass of raw material input to a normalization factor (NF). The NF can, e.g., be the number of units produced.</v>
      </c>
      <c r="K18" s="9" t="str">
        <v>Quantitative</v>
      </c>
      <c r="L18" s="9" t="str">
        <v>unit of mass/NF</v>
      </c>
      <c r="M18" s="9" t="str">
        <v>-</v>
      </c>
      <c r="N18" s="9">
        <v>6</v>
      </c>
      <c r="O18" s="9" t="str">
        <v>Brown et al. 2014; Rao et al. 2006; Saxena et al. 2020; Singh et al. 2007a; Singh et al. 2007b; Swarnakar et al. 2021</v>
      </c>
      <c r="P18" s="9" t="str">
        <v>Company; Production line; Work cell; Process</v>
      </c>
      <c r="Q18" s="9" t="str">
        <v>24 Manufacture of basic metals; 25 Manufacture of fabricated metal products, except machinery and equipment; 26 Manufacture of computer, electronic and optical products; 28 Manufacture of machinery and equipment n.e.c.; 29 Manufacture of motor vehicles, trailers and semi-trailers; 31 Manufacture of furniture; 32 Other manufacturing; not specified</v>
      </c>
      <c r="R18" s="9" t="str">
        <v>Original forming; Transforming; Separating; Coating and finishing; Change of material properties; not specified</v>
      </c>
      <c r="S18" s="9" t="str">
        <v>Small; Medium; Large; not specified</v>
      </c>
    </row>
    <row r="19" spans="1:19" ht="51.5" customHeight="1" x14ac:dyDescent="0.35">
      <c r="A19" s="9" t="str">
        <v>11-016</v>
      </c>
      <c r="B19" s="9" t="str">
        <v>Input</v>
      </c>
      <c r="C19" s="9" t="str">
        <v>Material</v>
      </c>
      <c r="D19" s="9" t="str">
        <v>Input - Material</v>
      </c>
      <c r="E19" s="9">
        <v>0</v>
      </c>
      <c r="F19" s="9" t="str">
        <v>x</v>
      </c>
      <c r="G19" s="9" t="str">
        <v>Resource Use &amp; Circular Economy</v>
      </c>
      <c r="H19" s="9" t="str">
        <v>Environmental - Resource Use &amp; Circular Economy</v>
      </c>
      <c r="I19" s="12" t="str">
        <v>Raw material efficiency</v>
      </c>
      <c r="J19" s="9" t="str">
        <v>This indicator measures the ratio of total product output to raw materials input.</v>
      </c>
      <c r="K19" s="9" t="str">
        <v>Quantitative</v>
      </c>
      <c r="L19" s="9" t="str">
        <v>%</v>
      </c>
      <c r="M19" s="9" t="str">
        <v>-</v>
      </c>
      <c r="N19" s="9">
        <v>1</v>
      </c>
      <c r="O19" s="9" t="str">
        <v>Huang &amp; Badurdeen 2018</v>
      </c>
      <c r="P19" s="9" t="str">
        <v>Factory; Production line</v>
      </c>
      <c r="Q19" s="9" t="str">
        <v>26 Manufacture of computer, electronic and optical products</v>
      </c>
      <c r="R19" s="9" t="str">
        <v>Original forming; Joining; Coating and finishing; Change of material properties</v>
      </c>
      <c r="S19" s="9" t="str">
        <v>not specified</v>
      </c>
    </row>
    <row r="20" spans="1:19" ht="51.5" customHeight="1" x14ac:dyDescent="0.35">
      <c r="A20" s="9" t="str">
        <v>11-017</v>
      </c>
      <c r="B20" s="9" t="str">
        <v>Input</v>
      </c>
      <c r="C20" s="9" t="str">
        <v>Material</v>
      </c>
      <c r="D20" s="9" t="str">
        <v>Input - Material</v>
      </c>
      <c r="E20" s="9" t="str">
        <v>x</v>
      </c>
      <c r="F20" s="9">
        <v>0</v>
      </c>
      <c r="G20" s="9" t="str">
        <v>Cost</v>
      </c>
      <c r="H20" s="9" t="str">
        <v>Economic - Cost</v>
      </c>
      <c r="I20" s="12" t="str">
        <v>Raw material cost</v>
      </c>
      <c r="J20" s="9" t="str">
        <v>This indicator measures the cost of all raw materials. (can be measured as total costs or total costs per UP)</v>
      </c>
      <c r="K20" s="9" t="str">
        <v>Quantitative</v>
      </c>
      <c r="L20" s="9" t="str">
        <v>€</v>
      </c>
      <c r="M20" s="9" t="str">
        <v>-</v>
      </c>
      <c r="N20" s="9">
        <v>2</v>
      </c>
      <c r="O20" s="9" t="str">
        <v>Gao et al. 2016; Huang &amp; Badurdeen 2018</v>
      </c>
      <c r="P20" s="9" t="str">
        <v>Factory; Production line; Process</v>
      </c>
      <c r="Q20" s="9" t="str">
        <v>26 Manufacture of computer, electronic and optical products; not specified</v>
      </c>
      <c r="R20" s="9" t="str">
        <v>Original forming; Separating; Joining; Coating and finishing; Change of material properties</v>
      </c>
      <c r="S20" s="9" t="str">
        <v>not specified</v>
      </c>
    </row>
    <row r="21" spans="1:19" ht="91" customHeight="1" x14ac:dyDescent="0.35">
      <c r="A21" s="9" t="str">
        <v>11-018</v>
      </c>
      <c r="B21" s="9" t="str">
        <v>Input</v>
      </c>
      <c r="C21" s="9" t="str">
        <v>Material</v>
      </c>
      <c r="D21" s="9" t="str">
        <v>Input - Material</v>
      </c>
      <c r="E21" s="9">
        <v>0</v>
      </c>
      <c r="F21" s="9" t="str">
        <v>x</v>
      </c>
      <c r="G21" s="9" t="str">
        <v>Resource Use &amp; Circular Economy</v>
      </c>
      <c r="H21" s="9" t="str">
        <v>Environmental - Resource Use &amp; Circular Economy</v>
      </c>
      <c r="I21" s="12" t="str">
        <v>Diversity of materials</v>
      </c>
      <c r="J21" s="9" t="str">
        <v>This indicator measures the number of different types of materials used.</v>
      </c>
      <c r="K21" s="9" t="str">
        <v>Quantitative</v>
      </c>
      <c r="L21" s="9" t="str">
        <v>#</v>
      </c>
      <c r="M21" s="9" t="str">
        <v>-</v>
      </c>
      <c r="N21" s="9">
        <v>2</v>
      </c>
      <c r="O21" s="9" t="str">
        <v>Kravchenko et al. 2019; Park &amp; Kremer 2017</v>
      </c>
      <c r="P21" s="9" t="str">
        <v>Company</v>
      </c>
      <c r="Q21" s="9" t="str">
        <v>13 Manufacture of textiles; 28 Manufacture of machinery and equipment n.e.c.; 31 Manufacture of furniture; not specified</v>
      </c>
      <c r="R21" s="9" t="str">
        <v>not specified</v>
      </c>
      <c r="S21" s="9" t="str">
        <v>Micro; Large; not specified</v>
      </c>
    </row>
    <row r="22" spans="1:19" ht="51.5" customHeight="1" x14ac:dyDescent="0.35">
      <c r="A22" s="9" t="str">
        <v>11-019</v>
      </c>
      <c r="B22" s="9" t="str">
        <v>Input</v>
      </c>
      <c r="C22" s="9" t="str">
        <v>Material</v>
      </c>
      <c r="D22" s="9" t="str">
        <v>Input - Material</v>
      </c>
      <c r="E22" s="9">
        <v>0</v>
      </c>
      <c r="F22" s="9" t="str">
        <v>x</v>
      </c>
      <c r="G22" s="9" t="str">
        <v>Resource Use &amp; Circular Economy</v>
      </c>
      <c r="H22" s="9" t="str">
        <v>Environmental - Resource Use &amp; Circular Economy</v>
      </c>
      <c r="I22" s="12" t="str">
        <v>Recyclable raw material consumption percentual</v>
      </c>
      <c r="J22" s="9" t="str">
        <v>This indicator measures the total weight or volume of recyclable raw material used to total raw material used.</v>
      </c>
      <c r="K22" s="9" t="str">
        <v>Quantitative</v>
      </c>
      <c r="L22" s="9" t="str">
        <v>%</v>
      </c>
      <c r="M22" s="9" t="str">
        <v>-</v>
      </c>
      <c r="N22" s="9">
        <v>1</v>
      </c>
      <c r="O22" s="9" t="str">
        <v>Rao et al. 2006</v>
      </c>
      <c r="P22" s="9" t="str">
        <v>Company</v>
      </c>
      <c r="Q22" s="9" t="str">
        <v>25 Manufacture of fabricated metal products, except machinery and equipment; 29 Manufacture of motor vehicles, trailers and semi-trailers; 31 Manufacture of furniture; 32 Other manufacturing</v>
      </c>
      <c r="R22" s="9" t="str">
        <v>not specified</v>
      </c>
      <c r="S22" s="9" t="str">
        <v>Small; Medium</v>
      </c>
    </row>
    <row r="23" spans="1:19" ht="51.5" customHeight="1" x14ac:dyDescent="0.35">
      <c r="A23" s="9" t="str">
        <v>11-020</v>
      </c>
      <c r="B23" s="9" t="str">
        <v>Input</v>
      </c>
      <c r="C23" s="9" t="str">
        <v>Material</v>
      </c>
      <c r="D23" s="9" t="str">
        <v>Input - Material</v>
      </c>
      <c r="E23" s="9">
        <v>0</v>
      </c>
      <c r="F23" s="9" t="str">
        <v>x</v>
      </c>
      <c r="G23" s="9" t="str">
        <v>Resource Use &amp; Circular Economy</v>
      </c>
      <c r="H23" s="9" t="str">
        <v>Environmental - Resource Use &amp; Circular Economy</v>
      </c>
      <c r="I23" s="12" t="str">
        <v>Recycled raw material consumption percentual</v>
      </c>
      <c r="J23" s="9" t="str">
        <v>This indicator measures the total weight or volume of recycled raw material used to all raw material used.</v>
      </c>
      <c r="K23" s="9" t="str">
        <v>Quantitative</v>
      </c>
      <c r="L23" s="9" t="str">
        <v>%</v>
      </c>
      <c r="M23" s="9" t="str">
        <v>-</v>
      </c>
      <c r="N23" s="9">
        <v>3</v>
      </c>
      <c r="O23" s="9" t="str">
        <v>Dočekalová &amp; Kocmanová 2016; Swarnakar et al. 2021; Swarnakar et al. 2022</v>
      </c>
      <c r="P23" s="9" t="str">
        <v>Company; Process</v>
      </c>
      <c r="Q23" s="9" t="str">
        <v>27 Manufacture of electrical equipment; 28 Manufacture of machinery and equipment n.e.c.; 29 Manufacture of motor vehicles, trailers and semi-trailers; not specified</v>
      </c>
      <c r="R23" s="9" t="str">
        <v>Transforming; Separating; Coating and finishing; Change of material properties; not specified</v>
      </c>
      <c r="S23" s="9" t="str">
        <v>Large; not specified</v>
      </c>
    </row>
    <row r="24" spans="1:19" ht="51.5" customHeight="1" x14ac:dyDescent="0.35">
      <c r="A24" s="9" t="str">
        <v>11-021</v>
      </c>
      <c r="B24" s="9" t="str">
        <v>Input</v>
      </c>
      <c r="C24" s="9" t="str">
        <v>Material</v>
      </c>
      <c r="D24" s="9" t="str">
        <v>Input - Material</v>
      </c>
      <c r="E24" s="9">
        <v>0</v>
      </c>
      <c r="F24" s="9" t="str">
        <v>x</v>
      </c>
      <c r="G24" s="9" t="str">
        <v>Resource Use &amp; Circular Economy</v>
      </c>
      <c r="H24" s="9" t="str">
        <v>Environmental - Resource Use &amp; Circular Economy</v>
      </c>
      <c r="I24" s="12" t="str">
        <v>Auxiliary material consumption</v>
      </c>
      <c r="J24" s="9" t="str">
        <v>This indicator measures the total weight or volume of auxiliary materials consumed.</v>
      </c>
      <c r="K24" s="9" t="str">
        <v>Quantitative</v>
      </c>
      <c r="L24" s="9" t="str">
        <v>unit of mass</v>
      </c>
      <c r="M24" s="9" t="str">
        <v>-</v>
      </c>
      <c r="N24" s="9">
        <v>2</v>
      </c>
      <c r="O24" s="9" t="str">
        <v>Paju et al. 2011; Song &amp; Moon 2019</v>
      </c>
      <c r="P24" s="9" t="str">
        <v>Production line; Process</v>
      </c>
      <c r="Q24" s="9" t="str">
        <v>25 Manufacture of fabricated metal products, except machinery and equipment; 30 Manufacture of other transport equipment</v>
      </c>
      <c r="R24" s="9" t="str">
        <v>Original forming; Transforming; Separating; Joining; Coating and finishing</v>
      </c>
      <c r="S24" s="9" t="str">
        <v>not specified</v>
      </c>
    </row>
    <row r="25" spans="1:19" ht="51.5" customHeight="1" x14ac:dyDescent="0.35">
      <c r="A25" s="9" t="str">
        <v>11-022</v>
      </c>
      <c r="B25" s="9" t="str">
        <v>Input</v>
      </c>
      <c r="C25" s="9" t="str">
        <v>Material</v>
      </c>
      <c r="D25" s="9" t="str">
        <v>Input - Material</v>
      </c>
      <c r="E25" s="9">
        <v>0</v>
      </c>
      <c r="F25" s="9" t="str">
        <v>x</v>
      </c>
      <c r="G25" s="9" t="str">
        <v>Resource Use &amp; Circular Economy</v>
      </c>
      <c r="H25" s="9" t="str">
        <v>Environmental - Resource Use &amp; Circular Economy</v>
      </c>
      <c r="I25" s="12" t="str">
        <v>Recycled or reused auxiliary materials</v>
      </c>
      <c r="J25" s="9" t="str">
        <v>This indicator measures the weight or volume of all auxiliary materials recycled or reused in production.</v>
      </c>
      <c r="K25" s="9" t="str">
        <v>Quantitative</v>
      </c>
      <c r="L25" s="9" t="str">
        <v>unit of mass</v>
      </c>
      <c r="M25" s="9" t="str">
        <v>-</v>
      </c>
      <c r="N25" s="9">
        <v>2</v>
      </c>
      <c r="O25" s="9" t="str">
        <v>Kravchenko et al. 2019; ISO14031</v>
      </c>
      <c r="P25" s="9" t="str">
        <v>Company; Factory</v>
      </c>
      <c r="Q25" s="9" t="str">
        <v>13 Manufacture of textiles; 28 Manufacture of machinery and equipment n.e.c.; 31 Manufacture of furniture; not specified</v>
      </c>
      <c r="R25" s="9" t="str">
        <v>not specified</v>
      </c>
      <c r="S25" s="9" t="str">
        <v>Micro; Large; not specified</v>
      </c>
    </row>
    <row r="26" spans="1:19" ht="51.5" customHeight="1" x14ac:dyDescent="0.35">
      <c r="A26" s="9" t="str">
        <v>11-023</v>
      </c>
      <c r="B26" s="9" t="str">
        <v>Input</v>
      </c>
      <c r="C26" s="9" t="str">
        <v>Material</v>
      </c>
      <c r="D26" s="9" t="str">
        <v>Input - Material</v>
      </c>
      <c r="E26" s="9" t="str">
        <v>x</v>
      </c>
      <c r="F26" s="9">
        <v>0</v>
      </c>
      <c r="G26" s="9" t="str">
        <v>Cost</v>
      </c>
      <c r="H26" s="9" t="str">
        <v>Economic - Cost</v>
      </c>
      <c r="I26" s="12" t="str">
        <v>Consumables cost</v>
      </c>
      <c r="J26" s="9" t="str">
        <v>This indicator measures the cost of all consumables.</v>
      </c>
      <c r="K26" s="9" t="str">
        <v>Quantitative</v>
      </c>
      <c r="L26" s="9" t="str">
        <v>€</v>
      </c>
      <c r="M26" s="9" t="str">
        <v>-</v>
      </c>
      <c r="N26" s="9">
        <v>3</v>
      </c>
      <c r="O26" s="9" t="str">
        <v>Faulkner &amp; Badurdeen 2014; Gao et al. 2016; Huang &amp; Badurdeen 2018</v>
      </c>
      <c r="P26" s="9" t="str">
        <v>Factory; Production line; Process</v>
      </c>
      <c r="Q26" s="9" t="str">
        <v>26 Manufacture of computer, electronic and optical products; not specified</v>
      </c>
      <c r="R26" s="9" t="str">
        <v>Original forming; Separating; Joining; Coating and finishing; Change of material properties</v>
      </c>
      <c r="S26" s="9" t="str">
        <v>not specified</v>
      </c>
    </row>
    <row r="27" spans="1:19" ht="51.5" customHeight="1" x14ac:dyDescent="0.35">
      <c r="A27" s="9" t="str">
        <v>11-024</v>
      </c>
      <c r="B27" s="9" t="str">
        <v>Input</v>
      </c>
      <c r="C27" s="9" t="str">
        <v>Material</v>
      </c>
      <c r="D27" s="9" t="str">
        <v>Input - Material</v>
      </c>
      <c r="E27" s="9">
        <v>0</v>
      </c>
      <c r="F27" s="9" t="str">
        <v>x</v>
      </c>
      <c r="G27" s="9" t="str">
        <v>Resource Use &amp; Circular Economy</v>
      </c>
      <c r="H27" s="9" t="str">
        <v>Environmental - Resource Use &amp; Circular Economy</v>
      </c>
      <c r="I27" s="12" t="str">
        <v>Coolant fluid consumption</v>
      </c>
      <c r="J27" s="9" t="str">
        <v>This indicator measures the total weight or volume of coolant fluid consumed, e.g., of a machine tool.</v>
      </c>
      <c r="K27" s="9" t="str">
        <v>Quantitative</v>
      </c>
      <c r="L27" s="9" t="str">
        <v>unit of mass</v>
      </c>
      <c r="M27" s="9" t="str">
        <v>-</v>
      </c>
      <c r="N27" s="9">
        <v>5</v>
      </c>
      <c r="O27" s="9" t="str">
        <v>Brown et al. 2014; Kravchenko et al. 2019; Swarnakar et al. 2021; Swarnakar et al. 2022; Vinodh et al. 2016</v>
      </c>
      <c r="P27" s="9" t="str">
        <v>Company; Production line; Work cell; Process</v>
      </c>
      <c r="Q27" s="9" t="str">
        <v>13 Manufacture of textiles; 25 Manufacture of fabricated metal products, except machinery and equipment; 26 Manufacture of computer, electronic and optical products; 28 Manufacture of machinery and equipment n.e.c.; 29 Manufacture of motor vehicles, trailers and semi-trailers; 31 Manufacture of furniture; not specified</v>
      </c>
      <c r="R27" s="9" t="str">
        <v>Transforming; Separating; Coating and finishing; Change of material properties; not specified</v>
      </c>
      <c r="S27" s="9" t="str">
        <v>Micro; Large; not specified</v>
      </c>
    </row>
    <row r="28" spans="1:19" ht="51.5" customHeight="1" x14ac:dyDescent="0.35">
      <c r="A28" s="9" t="str">
        <v>11-025</v>
      </c>
      <c r="B28" s="9" t="str">
        <v>Input</v>
      </c>
      <c r="C28" s="9" t="str">
        <v>Material</v>
      </c>
      <c r="D28" s="9" t="str">
        <v>Input - Material</v>
      </c>
      <c r="E28" s="9">
        <v>0</v>
      </c>
      <c r="F28" s="9" t="str">
        <v>x</v>
      </c>
      <c r="G28" s="9" t="str">
        <v>Resource Use &amp; Circular Economy</v>
      </c>
      <c r="H28" s="9" t="str">
        <v>Environmental - Resource Use &amp; Circular Economy</v>
      </c>
      <c r="I28" s="12" t="str">
        <v>Cutting fluid consumption</v>
      </c>
      <c r="J28" s="9" t="str">
        <v>This indicator measures the total weight or volume of cutting fluid consumed.</v>
      </c>
      <c r="K28" s="9" t="str">
        <v>Quantitative</v>
      </c>
      <c r="L28" s="9" t="str">
        <v>unit of mass</v>
      </c>
      <c r="M28" s="9" t="str">
        <v>-</v>
      </c>
      <c r="N28" s="9">
        <v>2</v>
      </c>
      <c r="O28" s="9" t="str">
        <v>Avram et al. 2011; Jiang et al. 2012</v>
      </c>
      <c r="P28" s="9" t="str">
        <v>Work cell; Process</v>
      </c>
      <c r="Q28" s="9" t="str">
        <v>25 Manufacture of fabricated metal products, except machinery and equipment; not specified</v>
      </c>
      <c r="R28" s="9" t="str">
        <v>Separating</v>
      </c>
      <c r="S28" s="9" t="str">
        <v>not specified</v>
      </c>
    </row>
    <row r="29" spans="1:19" ht="51.5" customHeight="1" x14ac:dyDescent="0.35">
      <c r="A29" s="9" t="str">
        <v>11-026</v>
      </c>
      <c r="B29" s="9" t="str">
        <v>Input</v>
      </c>
      <c r="C29" s="9" t="str">
        <v>Material</v>
      </c>
      <c r="D29" s="9" t="str">
        <v>Input - Material</v>
      </c>
      <c r="E29" s="9">
        <v>0</v>
      </c>
      <c r="F29" s="9" t="str">
        <v>x</v>
      </c>
      <c r="G29" s="9" t="str">
        <v>Resource Use &amp; Circular Economy</v>
      </c>
      <c r="H29" s="9" t="str">
        <v>Environmental - Resource Use &amp; Circular Economy</v>
      </c>
      <c r="I29" s="12" t="str">
        <v>Filler material consumption</v>
      </c>
      <c r="J29" s="9" t="str">
        <v>This indicator measures the total weight or volume of filler material consumed.</v>
      </c>
      <c r="K29" s="9" t="str">
        <v>Quantitative</v>
      </c>
      <c r="L29" s="9" t="str">
        <v>unit of mass</v>
      </c>
      <c r="M29" s="9" t="str">
        <v>-</v>
      </c>
      <c r="N29" s="9">
        <v>1</v>
      </c>
      <c r="O29" s="9" t="str">
        <v>Saad et al. 2021</v>
      </c>
      <c r="P29" s="9" t="str">
        <v>Process</v>
      </c>
      <c r="Q29" s="9" t="str">
        <v>not specified</v>
      </c>
      <c r="R29" s="9" t="str">
        <v>Joining</v>
      </c>
      <c r="S29" s="9" t="str">
        <v>not specified</v>
      </c>
    </row>
    <row r="30" spans="1:19" ht="51.5" customHeight="1" x14ac:dyDescent="0.35">
      <c r="A30" s="9" t="str">
        <v>11-027</v>
      </c>
      <c r="B30" s="9" t="str">
        <v>Input</v>
      </c>
      <c r="C30" s="9" t="str">
        <v>Material</v>
      </c>
      <c r="D30" s="9" t="str">
        <v>Input - Material</v>
      </c>
      <c r="E30" s="9">
        <v>0</v>
      </c>
      <c r="F30" s="9" t="str">
        <v>x</v>
      </c>
      <c r="G30" s="9" t="str">
        <v>Resource Use &amp; Circular Economy</v>
      </c>
      <c r="H30" s="9" t="str">
        <v>Environmental - Resource Use &amp; Circular Economy</v>
      </c>
      <c r="I30" s="12" t="str">
        <v>Grease consumption</v>
      </c>
      <c r="J30" s="9" t="str">
        <v>This indicator measures the total weight or volume of grease consumed.</v>
      </c>
      <c r="K30" s="9" t="str">
        <v>Quantitative</v>
      </c>
      <c r="L30" s="9" t="str">
        <v>unit of mass</v>
      </c>
      <c r="M30" s="9" t="str">
        <v>-</v>
      </c>
      <c r="N30" s="9">
        <v>1</v>
      </c>
      <c r="O30" s="9" t="str">
        <v>Garza-Reyes et al. 2018</v>
      </c>
      <c r="P30" s="9" t="str">
        <v>Process</v>
      </c>
      <c r="Q30" s="9" t="str">
        <v>not specified</v>
      </c>
      <c r="R30" s="9" t="str">
        <v>Transforming; Change of material properties</v>
      </c>
      <c r="S30" s="9" t="str">
        <v>not specified</v>
      </c>
    </row>
    <row r="31" spans="1:19" ht="51.5" customHeight="1" x14ac:dyDescent="0.35">
      <c r="A31" s="9" t="str">
        <v>11-028</v>
      </c>
      <c r="B31" s="9" t="str">
        <v>Input</v>
      </c>
      <c r="C31" s="9" t="str">
        <v>Material</v>
      </c>
      <c r="D31" s="9" t="str">
        <v>Input - Material</v>
      </c>
      <c r="E31" s="9">
        <v>0</v>
      </c>
      <c r="F31" s="9" t="str">
        <v>x</v>
      </c>
      <c r="G31" s="9" t="str">
        <v>Resource Use &amp; Circular Economy</v>
      </c>
      <c r="H31" s="9" t="str">
        <v>Environmental - Resource Use &amp; Circular Economy</v>
      </c>
      <c r="I31" s="12" t="str">
        <v>Oil consumption (non-energy)</v>
      </c>
      <c r="J31" s="9" t="str">
        <v>This indicator measures the total weight or volume of oil consumed (not for energy).</v>
      </c>
      <c r="K31" s="9" t="str">
        <v>Quantitative</v>
      </c>
      <c r="L31" s="9" t="str">
        <v>unit of mass</v>
      </c>
      <c r="M31" s="9" t="str">
        <v>-</v>
      </c>
      <c r="N31" s="9">
        <v>10</v>
      </c>
      <c r="O31" s="9" t="str">
        <v>Bhanot et al. 2016a; Bhanot et al. 2016b; Brown et al. 2014; Favi et al. 2017; Garza-Reyes et al. 2018; Kravchenko et al. 2019; Lucato et al. 2018; Swarnakar et al. 2021; Swarnakar et al. 2022; Vinodh et al. 2016</v>
      </c>
      <c r="P31" s="9" t="str">
        <v>Company; Factory; Production line; Work cell; Process</v>
      </c>
      <c r="Q31" s="9" t="str">
        <v>13 Manufacture of textiles; 25 Manufacture of fabricated metal products, except machinery and equipment; 26 Manufacture of computer, electronic and optical products; 27 Manufacture of electrical equipment; 28 Manufacture of machinery and equipment n.e.c.; 29 Manufacture of motor vehicles, trailers and semi-trailers; 31 Manufacture of furniture; not specified</v>
      </c>
      <c r="R31" s="9" t="str">
        <v>Transforming; Separating; Coating and finishing; Change of material properties; not specified</v>
      </c>
      <c r="S31" s="9" t="str">
        <v>Micro; Large; not specified</v>
      </c>
    </row>
    <row r="32" spans="1:19" ht="51.5" customHeight="1" x14ac:dyDescent="0.35">
      <c r="A32" s="9" t="str">
        <v>11-029</v>
      </c>
      <c r="B32" s="9" t="str">
        <v>Input</v>
      </c>
      <c r="C32" s="9" t="str">
        <v>Material</v>
      </c>
      <c r="D32" s="9" t="str">
        <v>Input - Material</v>
      </c>
      <c r="E32" s="9">
        <v>0</v>
      </c>
      <c r="F32" s="9" t="str">
        <v>x</v>
      </c>
      <c r="G32" s="9" t="str">
        <v>Resource Use &amp; Circular Economy</v>
      </c>
      <c r="H32" s="9" t="str">
        <v>Environmental - Resource Use &amp; Circular Economy</v>
      </c>
      <c r="I32" s="12" t="str">
        <v>Refractory consumption</v>
      </c>
      <c r="J32" s="9" t="str">
        <v>This indicator measures the total weight of refractory consumed per production output.</v>
      </c>
      <c r="K32" s="9" t="str">
        <v>Quantitative</v>
      </c>
      <c r="L32" s="9" t="str">
        <v>kg/UOP</v>
      </c>
      <c r="M32" s="9" t="str">
        <v>-</v>
      </c>
      <c r="N32" s="9">
        <v>1</v>
      </c>
      <c r="O32" s="9" t="str">
        <v>Singh et al. 2007a</v>
      </c>
      <c r="P32" s="9" t="str">
        <v>Company</v>
      </c>
      <c r="Q32" s="9" t="str">
        <v>24 Manufacture of basic metals</v>
      </c>
      <c r="R32" s="9" t="str">
        <v>not specified</v>
      </c>
      <c r="S32" s="9" t="str">
        <v>Large</v>
      </c>
    </row>
    <row r="33" spans="1:25" ht="51.5" customHeight="1" x14ac:dyDescent="0.35">
      <c r="A33" s="9" t="str">
        <v>11-030</v>
      </c>
      <c r="B33" s="9" t="str">
        <v>Input</v>
      </c>
      <c r="C33" s="9" t="str">
        <v>Material</v>
      </c>
      <c r="D33" s="9" t="str">
        <v>Input - Material</v>
      </c>
      <c r="E33" s="9">
        <v>0</v>
      </c>
      <c r="F33" s="9" t="str">
        <v>x</v>
      </c>
      <c r="G33" s="9" t="str">
        <v>Resource Use &amp; Circular Economy</v>
      </c>
      <c r="H33" s="9" t="str">
        <v>Environmental - Resource Use &amp; Circular Economy</v>
      </c>
      <c r="I33" s="12" t="str">
        <v>Refrigerant consumption</v>
      </c>
      <c r="J33" s="9" t="str">
        <v>This indicator measures the total weight of refrigerant consumed per production output.</v>
      </c>
      <c r="K33" s="9" t="str">
        <v>Quantitative</v>
      </c>
      <c r="L33" s="9" t="str">
        <v>kg/UOP</v>
      </c>
      <c r="M33" s="9" t="str">
        <v>-</v>
      </c>
      <c r="N33" s="9">
        <v>1</v>
      </c>
      <c r="O33" s="9" t="str">
        <v>Singh et al. 2007a</v>
      </c>
      <c r="P33" s="9" t="str">
        <v>Company</v>
      </c>
      <c r="Q33" s="9" t="str">
        <v>24 Manufacture of basic metals</v>
      </c>
      <c r="R33" s="9" t="str">
        <v>not specified</v>
      </c>
      <c r="S33" s="9" t="str">
        <v>Large</v>
      </c>
    </row>
    <row r="34" spans="1:25" ht="51.5" customHeight="1" x14ac:dyDescent="0.35">
      <c r="A34" s="9" t="str">
        <v>11-031</v>
      </c>
      <c r="B34" s="9" t="str">
        <v>Input</v>
      </c>
      <c r="C34" s="9" t="str">
        <v>Material</v>
      </c>
      <c r="D34" s="9" t="str">
        <v>Input - Material</v>
      </c>
      <c r="E34" s="9">
        <v>0</v>
      </c>
      <c r="F34" s="9" t="str">
        <v>x</v>
      </c>
      <c r="G34" s="9" t="str">
        <v>Resource Use &amp; Circular Economy</v>
      </c>
      <c r="H34" s="9" t="str">
        <v>Environmental - Resource Use &amp; Circular Economy</v>
      </c>
      <c r="I34" s="12" t="str">
        <v>Shielding gas consumption</v>
      </c>
      <c r="J34" s="9" t="str">
        <v>This indicator measures the total weight or volume of shielding gas consumed.</v>
      </c>
      <c r="K34" s="9" t="str">
        <v>Quantitative</v>
      </c>
      <c r="L34" s="9" t="str">
        <v>unit of mass</v>
      </c>
      <c r="M34" s="9" t="str">
        <v>-</v>
      </c>
      <c r="N34" s="9">
        <v>1</v>
      </c>
      <c r="O34" s="9" t="str">
        <v>Saad et al. 2021</v>
      </c>
      <c r="P34" s="9" t="str">
        <v>Process</v>
      </c>
      <c r="Q34" s="9" t="str">
        <v>not specified</v>
      </c>
      <c r="R34" s="9" t="str">
        <v>Joining</v>
      </c>
      <c r="S34" s="9" t="str">
        <v>not specified</v>
      </c>
    </row>
    <row r="35" spans="1:25" ht="51.5" customHeight="1" x14ac:dyDescent="0.35">
      <c r="A35" s="9" t="str">
        <v>11-032</v>
      </c>
      <c r="B35" s="9" t="str">
        <v>Input</v>
      </c>
      <c r="C35" s="9" t="str">
        <v>Material</v>
      </c>
      <c r="D35" s="9" t="str">
        <v>Input - Material</v>
      </c>
      <c r="E35" s="9" t="str">
        <v>x</v>
      </c>
      <c r="F35" s="9">
        <v>0</v>
      </c>
      <c r="G35" s="9" t="str">
        <v>Cost</v>
      </c>
      <c r="H35" s="9" t="str">
        <v>Economic - Cost</v>
      </c>
      <c r="I35" s="12" t="str">
        <v>Filler material cost</v>
      </c>
      <c r="J35" s="9" t="str">
        <v>This indicator measures the cost of filler materials.</v>
      </c>
      <c r="K35" s="9" t="str">
        <v>Quantitative</v>
      </c>
      <c r="L35" s="9" t="str">
        <v>€</v>
      </c>
      <c r="M35" s="9" t="str">
        <v>-</v>
      </c>
      <c r="N35" s="9">
        <v>1</v>
      </c>
      <c r="O35" s="9" t="str">
        <v>Saad et al. 2021</v>
      </c>
      <c r="P35" s="9" t="str">
        <v>Process</v>
      </c>
      <c r="Q35" s="9" t="str">
        <v>not specified</v>
      </c>
      <c r="R35" s="9" t="str">
        <v>Joining</v>
      </c>
      <c r="S35" s="9" t="str">
        <v>not specified</v>
      </c>
    </row>
    <row r="36" spans="1:25" ht="51.5" customHeight="1" x14ac:dyDescent="0.35">
      <c r="A36" s="9" t="str">
        <v>11-033</v>
      </c>
      <c r="B36" s="9" t="str">
        <v>Input</v>
      </c>
      <c r="C36" s="9" t="str">
        <v>Material</v>
      </c>
      <c r="D36" s="9" t="str">
        <v>Input - Material</v>
      </c>
      <c r="E36" s="9" t="str">
        <v>x</v>
      </c>
      <c r="F36" s="9">
        <v>0</v>
      </c>
      <c r="G36" s="9" t="str">
        <v>Cost</v>
      </c>
      <c r="H36" s="9" t="str">
        <v>Economic - Cost</v>
      </c>
      <c r="I36" s="12" t="str">
        <v>Coolant cost</v>
      </c>
      <c r="J36" s="9" t="str">
        <v>This indicator measures the coolant costs.</v>
      </c>
      <c r="K36" s="9" t="str">
        <v>Quantitative</v>
      </c>
      <c r="L36" s="9" t="str">
        <v>€</v>
      </c>
      <c r="M36" s="9" t="str">
        <v>-</v>
      </c>
      <c r="N36" s="9">
        <v>1</v>
      </c>
      <c r="O36" s="9" t="str">
        <v>Zhang &amp; Haapala 2015</v>
      </c>
      <c r="P36" s="9" t="str">
        <v>Work cell</v>
      </c>
      <c r="Q36" s="9" t="str">
        <v>25 Manufacture of fabricated metal products, except machinery and equipment</v>
      </c>
      <c r="R36" s="9" t="str">
        <v>Separating; Coating and finishing; Change of material properties</v>
      </c>
      <c r="S36" s="9" t="str">
        <v>not specified</v>
      </c>
    </row>
    <row r="37" spans="1:25" ht="51.5" customHeight="1" x14ac:dyDescent="0.35">
      <c r="A37" s="9" t="str">
        <v>11-034</v>
      </c>
      <c r="B37" s="9" t="str">
        <v>Input</v>
      </c>
      <c r="C37" s="9" t="str">
        <v>Material</v>
      </c>
      <c r="D37" s="9" t="str">
        <v>Input - Material</v>
      </c>
      <c r="E37" s="9">
        <v>0</v>
      </c>
      <c r="F37" s="9" t="str">
        <v>x</v>
      </c>
      <c r="G37" s="9" t="str">
        <v>Resource Use &amp; Circular Economy</v>
      </c>
      <c r="H37" s="9" t="str">
        <v>Environmental - Resource Use &amp; Circular Economy</v>
      </c>
      <c r="I37" s="12" t="str">
        <v>Packaging material consumption</v>
      </c>
      <c r="J37" s="9" t="str">
        <v>This indicator measures the total weight or volume of packaging material used.</v>
      </c>
      <c r="K37" s="9" t="str">
        <v>Quantitative</v>
      </c>
      <c r="L37" s="9" t="str">
        <v>unit of mass</v>
      </c>
      <c r="M37" s="9" t="str">
        <v>-</v>
      </c>
      <c r="N37" s="9">
        <v>5</v>
      </c>
      <c r="O37" s="9" t="str">
        <v>Gani et al. 2021; Huang &amp; Badurdeen 2018; Lee et al. 2014; Mengistu &amp; Panizzolo 2023a; Kravchenko et al. 2019</v>
      </c>
      <c r="P37" s="9" t="str">
        <v>Company; Factory; Production line</v>
      </c>
      <c r="Q37" s="9" t="str">
        <v>13 Manufacture of textiles; 26 Manufacture of computer, electronic and optical products; 28 Manufacture of machinery and equipment n.e.c.; 29 Manufacture of motor vehicles, trailers and semi-trailers; 31 Manufacture of furniture; not specified</v>
      </c>
      <c r="R37" s="9" t="str">
        <v>Original forming; Transforming; Joining; Coating and finishing; Change of material properties; not specified</v>
      </c>
      <c r="S37" s="9" t="str">
        <v>Micro; Large; not specified</v>
      </c>
    </row>
    <row r="38" spans="1:25" ht="51.5" customHeight="1" x14ac:dyDescent="0.35">
      <c r="A38" s="9" t="str">
        <v>11-035</v>
      </c>
      <c r="B38" s="9" t="str">
        <v>Input</v>
      </c>
      <c r="C38" s="9" t="str">
        <v>Material</v>
      </c>
      <c r="D38" s="9" t="str">
        <v>Input - Material</v>
      </c>
      <c r="E38" s="9">
        <v>0</v>
      </c>
      <c r="F38" s="9" t="str">
        <v>x</v>
      </c>
      <c r="G38" s="9" t="str">
        <v>Resource Use &amp; Circular Economy</v>
      </c>
      <c r="H38" s="9" t="str">
        <v>Environmental - Resource Use &amp; Circular Economy</v>
      </c>
      <c r="I38" s="12" t="str">
        <v>Packaging material intensity</v>
      </c>
      <c r="J38" s="9" t="str">
        <v>This indicator measures the ratio of the mass of packaging material input to a normalization factor (NF). The NF can, e.g., be the number of units produced or the total mass of the products.</v>
      </c>
      <c r="K38" s="9" t="str">
        <v>Quantitative</v>
      </c>
      <c r="L38" s="9" t="str">
        <v>kg/NF</v>
      </c>
      <c r="M38" s="9" t="str">
        <v>-</v>
      </c>
      <c r="N38" s="9">
        <v>2</v>
      </c>
      <c r="O38" s="9" t="str">
        <v>Kravchenko et al. 2019; Rao et al. 2006</v>
      </c>
      <c r="P38" s="9" t="str">
        <v>Company</v>
      </c>
      <c r="Q38" s="9" t="str">
        <v>13 Manufacture of textiles; 25 Manufacture of fabricated metal products, except machinery and equipment; 28 Manufacture of machinery and equipment n.e.c.; 29 Manufacture of motor vehicles, trailers and semi-trailers; 31 Manufacture of furniture; 32 Other manufacturing</v>
      </c>
      <c r="R38" s="9" t="str">
        <v>not specified</v>
      </c>
      <c r="S38" s="9" t="str">
        <v>Micro; Small; Medium; Large</v>
      </c>
    </row>
    <row r="39" spans="1:25" ht="51.5" customHeight="1" x14ac:dyDescent="0.35">
      <c r="A39" s="9" t="str">
        <v>11-036</v>
      </c>
      <c r="B39" s="9" t="str">
        <v>Input</v>
      </c>
      <c r="C39" s="9" t="str">
        <v>Material</v>
      </c>
      <c r="D39" s="9" t="str">
        <v>Input - Material</v>
      </c>
      <c r="E39" s="9">
        <v>0</v>
      </c>
      <c r="F39" s="9" t="str">
        <v>x</v>
      </c>
      <c r="G39" s="9" t="str">
        <v>Resource Use &amp; Circular Economy</v>
      </c>
      <c r="H39" s="9" t="str">
        <v>Environmental - Resource Use &amp; Circular Economy</v>
      </c>
      <c r="I39" s="12" t="str">
        <v>Packaging material efficiency</v>
      </c>
      <c r="J39" s="9" t="str">
        <v>This indicator measures the ratio of total product output to packaging materials input.</v>
      </c>
      <c r="K39" s="9" t="str">
        <v>Quantitative</v>
      </c>
      <c r="L39" s="9" t="str">
        <v>%</v>
      </c>
      <c r="M39" s="9" t="str">
        <v>-</v>
      </c>
      <c r="N39" s="9">
        <v>1</v>
      </c>
      <c r="O39" s="9" t="str">
        <v>Huang &amp; Badurdeen 2018</v>
      </c>
      <c r="P39" s="9" t="str">
        <v>Factory; Production line</v>
      </c>
      <c r="Q39" s="9" t="str">
        <v>26 Manufacture of computer, electronic and optical products</v>
      </c>
      <c r="R39" s="9" t="str">
        <v>Original forming; Joining; Coating and finishing; Change of material properties</v>
      </c>
      <c r="S39" s="9" t="str">
        <v>not specified</v>
      </c>
    </row>
    <row r="40" spans="1:25" ht="57" customHeight="1" x14ac:dyDescent="0.35">
      <c r="A40" s="9" t="str">
        <v>11-037</v>
      </c>
      <c r="B40" s="9" t="str">
        <v>Input</v>
      </c>
      <c r="C40" s="9" t="str">
        <v>Material</v>
      </c>
      <c r="D40" s="9" t="str">
        <v>Input - Material</v>
      </c>
      <c r="E40" s="9">
        <v>0</v>
      </c>
      <c r="F40" s="9" t="str">
        <v>x</v>
      </c>
      <c r="G40" s="9" t="str">
        <v>Resource Use &amp; Circular Economy</v>
      </c>
      <c r="H40" s="9" t="str">
        <v>Environmental - Resource Use &amp; Circular Economy</v>
      </c>
      <c r="I40" s="12" t="str">
        <v>Diversity of packaging materials</v>
      </c>
      <c r="J40" s="9" t="str">
        <v>This indicator measures the number of different types of packaging materials used.</v>
      </c>
      <c r="K40" s="9" t="str">
        <v>Quantitative</v>
      </c>
      <c r="L40" s="9" t="str">
        <v>#</v>
      </c>
      <c r="M40" s="9" t="str">
        <v>-</v>
      </c>
      <c r="N40" s="9">
        <v>1</v>
      </c>
      <c r="O40" s="9" t="str">
        <v>Kravchenko et al. 2019</v>
      </c>
      <c r="P40" s="9" t="str">
        <v>Company</v>
      </c>
      <c r="Q40" s="9" t="str">
        <v>13 Manufacture of textiles; 28 Manufacture of machinery and equipment n.e.c.; 31 Manufacture of furniture</v>
      </c>
      <c r="R40" s="9" t="str">
        <v>not specified</v>
      </c>
      <c r="S40" s="9" t="str">
        <v>Micro; Large</v>
      </c>
    </row>
    <row r="41" spans="1:25" ht="51.5" customHeight="1" x14ac:dyDescent="0.35">
      <c r="A41" s="9" t="str">
        <v>11-038</v>
      </c>
      <c r="B41" s="9" t="str">
        <v>Input</v>
      </c>
      <c r="C41" s="9" t="str">
        <v>Material</v>
      </c>
      <c r="D41" s="9" t="str">
        <v>Input - Material</v>
      </c>
      <c r="E41" s="9">
        <v>0</v>
      </c>
      <c r="F41" s="9" t="str">
        <v>x</v>
      </c>
      <c r="G41" s="9" t="str">
        <v>Resource Use &amp; Circular Economy</v>
      </c>
      <c r="H41" s="9" t="str">
        <v>Environmental - Resource Use &amp; Circular Economy</v>
      </c>
      <c r="I41" s="12" t="str">
        <v>Renewable packaging material consumption</v>
      </c>
      <c r="J41" s="9" t="str">
        <v>This indicator measures the total weight or volume of renewable packaging material used.</v>
      </c>
      <c r="K41" s="9" t="str">
        <v>Quantitative</v>
      </c>
      <c r="L41" s="9" t="str">
        <v>unit of mass</v>
      </c>
      <c r="M41" s="9" t="str">
        <v>-</v>
      </c>
      <c r="N41" s="9">
        <v>1</v>
      </c>
      <c r="O41" s="9" t="str">
        <v>Lee et al. 2014</v>
      </c>
      <c r="P41" s="9" t="str">
        <v>Factory; Production line</v>
      </c>
      <c r="Q41" s="9" t="str">
        <v>29 Manufacture of motor vehicles, trailers and semi-trailers</v>
      </c>
      <c r="R41" s="9" t="str">
        <v>Transforming; Joining</v>
      </c>
      <c r="S41" s="9" t="str">
        <v>not specified</v>
      </c>
    </row>
    <row r="42" spans="1:25" ht="51.5" customHeight="1" x14ac:dyDescent="0.35">
      <c r="A42" s="9" t="str">
        <v>11-039</v>
      </c>
      <c r="B42" s="9" t="str">
        <v>Input</v>
      </c>
      <c r="C42" s="9" t="str">
        <v>Material</v>
      </c>
      <c r="D42" s="9" t="str">
        <v>Input - Material</v>
      </c>
      <c r="E42" s="9">
        <v>0</v>
      </c>
      <c r="F42" s="9" t="str">
        <v>x</v>
      </c>
      <c r="G42" s="9" t="str">
        <v>Resource Use &amp; Circular Economy</v>
      </c>
      <c r="H42" s="9" t="str">
        <v>Environmental - Resource Use &amp; Circular Economy</v>
      </c>
      <c r="I42" s="12" t="str">
        <v>Packaging materials from suppliers</v>
      </c>
      <c r="J42" s="9" t="str">
        <v>This indicator measures the total weight or volume of packaging material received from suppliers.</v>
      </c>
      <c r="K42" s="9" t="str">
        <v>Quantitative</v>
      </c>
      <c r="L42" s="9" t="str">
        <v>unit of mass</v>
      </c>
      <c r="M42" s="9" t="str">
        <v>-</v>
      </c>
      <c r="N42" s="9">
        <v>1</v>
      </c>
      <c r="O42" s="9" t="str">
        <v>Kravchenko et al. 2019</v>
      </c>
      <c r="P42" s="9" t="str">
        <v>Company</v>
      </c>
      <c r="Q42" s="9" t="str">
        <v>13 Manufacture of textiles; 28 Manufacture of machinery and equipment n.e.c.; 31 Manufacture of furniture</v>
      </c>
      <c r="R42" s="9" t="str">
        <v>not specified</v>
      </c>
      <c r="S42" s="9" t="str">
        <v>Micro; Large</v>
      </c>
    </row>
    <row r="43" spans="1:25" ht="51.5" customHeight="1" x14ac:dyDescent="0.35">
      <c r="A43" s="9" t="str">
        <v>11-040</v>
      </c>
      <c r="B43" s="9" t="str">
        <v>Input</v>
      </c>
      <c r="C43" s="9" t="str">
        <v>Material</v>
      </c>
      <c r="D43" s="9" t="str">
        <v>Input - Material</v>
      </c>
      <c r="E43" s="9">
        <v>0</v>
      </c>
      <c r="F43" s="9" t="str">
        <v>x</v>
      </c>
      <c r="G43" s="9" t="str">
        <v>Resource Use &amp; Circular Economy</v>
      </c>
      <c r="H43" s="9" t="str">
        <v>Environmental - Resource Use &amp; Circular Economy</v>
      </c>
      <c r="I43" s="12" t="str">
        <v>Recycled packaging material consumption percentual</v>
      </c>
      <c r="J43" s="9" t="str">
        <v>This indicator measures the total weight or volume of recycled packaging material used to all packaging material used.</v>
      </c>
      <c r="K43" s="9" t="str">
        <v>Quantitative</v>
      </c>
      <c r="L43" s="9" t="str">
        <v>%</v>
      </c>
      <c r="M43" s="9" t="str">
        <v>-</v>
      </c>
      <c r="N43" s="9">
        <v>2</v>
      </c>
      <c r="O43" s="9" t="str">
        <v>Huang &amp; Badurdeen 2018; Kravchenko et al. 2019</v>
      </c>
      <c r="P43" s="9" t="str">
        <v>Company; Factory; Production line</v>
      </c>
      <c r="Q43" s="9" t="str">
        <v>13 Manufacture of textiles; 26 Manufacture of computer, electronic and optical products; 28 Manufacture of machinery and equipment n.e.c.; 31 Manufacture of furniture</v>
      </c>
      <c r="R43" s="9" t="str">
        <v>Original forming; Joining; Coating and finishing; Change of material properties; not specified</v>
      </c>
      <c r="S43" s="9" t="str">
        <v>Micro; Large; not specified</v>
      </c>
    </row>
    <row r="44" spans="1:25" ht="51.5" customHeight="1" x14ac:dyDescent="0.35">
      <c r="A44" s="9" t="str">
        <v>11-041</v>
      </c>
      <c r="B44" s="9" t="str">
        <v>Input</v>
      </c>
      <c r="C44" s="9" t="str">
        <v>Material</v>
      </c>
      <c r="D44" s="9" t="str">
        <v>Input - Material</v>
      </c>
      <c r="E44" s="9">
        <v>0</v>
      </c>
      <c r="F44" s="9" t="str">
        <v>x</v>
      </c>
      <c r="G44" s="9" t="str">
        <v>Resource Use &amp; Circular Economy</v>
      </c>
      <c r="H44" s="9" t="str">
        <v>Environmental - Resource Use &amp; Circular Economy</v>
      </c>
      <c r="I44" s="12" t="str">
        <v>Reusable packaging material consumption percentual</v>
      </c>
      <c r="J44" s="9" t="str">
        <v>This indicator measures the total weight or volume of reusable packaging material used to all packaging material used.</v>
      </c>
      <c r="K44" s="9" t="str">
        <v>Quantitative</v>
      </c>
      <c r="L44" s="9" t="str">
        <v>%</v>
      </c>
      <c r="M44" s="9" t="str">
        <v>-</v>
      </c>
      <c r="N44" s="9">
        <v>2</v>
      </c>
      <c r="O44" s="9" t="str">
        <v>Kravchenko et al. 2019; Rao et al. 2006</v>
      </c>
      <c r="P44" s="9" t="str">
        <v>Company</v>
      </c>
      <c r="Q44" s="9" t="str">
        <v>13 Manufacture of textiles; 25 Manufacture of fabricated metal products, except machinery and equipment; 28 Manufacture of machinery and equipment n.e.c.; 29 Manufacture of motor vehicles, trailers and semi-trailers; 31 Manufacture of furniture; 32 Other manufacturing</v>
      </c>
      <c r="R44" s="9" t="str">
        <v>not specified</v>
      </c>
      <c r="S44" s="9" t="str">
        <v>Micro; Small; Medium; Large</v>
      </c>
    </row>
    <row r="45" spans="1:25" ht="51.5" customHeight="1" x14ac:dyDescent="0.35">
      <c r="A45" s="9" t="str">
        <v>11-042</v>
      </c>
      <c r="B45" s="9" t="str">
        <v>Input</v>
      </c>
      <c r="C45" s="9" t="str">
        <v>Material</v>
      </c>
      <c r="D45" s="9" t="str">
        <v>Input - Material</v>
      </c>
      <c r="E45" s="9">
        <v>0</v>
      </c>
      <c r="F45" s="9" t="str">
        <v>x</v>
      </c>
      <c r="G45" s="9" t="str">
        <v>Resource Use &amp; Circular Economy</v>
      </c>
      <c r="H45" s="9" t="str">
        <v>Environmental - Resource Use &amp; Circular Economy</v>
      </c>
      <c r="I45" s="12" t="str">
        <v>Reused packaging material consumption</v>
      </c>
      <c r="J45" s="9" t="str">
        <v>This indicator measures the total weight or volume of reused packaging material consumed.</v>
      </c>
      <c r="K45" s="9" t="str">
        <v>Quantitative</v>
      </c>
      <c r="L45" s="9" t="str">
        <v>unit of mass</v>
      </c>
      <c r="M45" s="9" t="str">
        <v>-</v>
      </c>
      <c r="N45" s="9">
        <v>3</v>
      </c>
      <c r="O45" s="9" t="str">
        <v>Huang &amp; Badurdeen 2018; Tan et al. 2015; ISO14031</v>
      </c>
      <c r="P45" s="9" t="str">
        <v>Company; Factory; Production line</v>
      </c>
      <c r="Q45" s="9" t="str">
        <v>26 Manufacture of computer, electronic and optical products; not specified</v>
      </c>
      <c r="R45" s="9" t="str">
        <v>Original forming; Joining; Coating and finishing; Change of material properties; not specified</v>
      </c>
      <c r="S45" s="9" t="str">
        <v>Small; Medium; not specified</v>
      </c>
    </row>
    <row r="46" spans="1:25" ht="51.5" customHeight="1" x14ac:dyDescent="0.35">
      <c r="A46" s="9" t="str">
        <v>11-043</v>
      </c>
      <c r="B46" s="9" t="str">
        <v>Input</v>
      </c>
      <c r="C46" s="9" t="str">
        <v>Material</v>
      </c>
      <c r="D46" s="9" t="str">
        <v>Input - Material</v>
      </c>
      <c r="E46" s="9">
        <v>0</v>
      </c>
      <c r="F46" s="9" t="str">
        <v>x</v>
      </c>
      <c r="G46" s="9" t="str">
        <v>Resource Use &amp; Circular Economy</v>
      </c>
      <c r="H46" s="9" t="str">
        <v>Environmental - Resource Use &amp; Circular Economy</v>
      </c>
      <c r="I46" s="12" t="str">
        <v>Biodegradable packaging material consumption</v>
      </c>
      <c r="J46" s="9" t="str">
        <v>This indicator measures the mass of biodegradable materials used for packaging.</v>
      </c>
      <c r="K46" s="9" t="str">
        <v>Quantitative</v>
      </c>
      <c r="L46" s="9" t="str">
        <v>unit of mass</v>
      </c>
      <c r="M46" s="9" t="str">
        <v>-</v>
      </c>
      <c r="N46" s="9">
        <v>3</v>
      </c>
      <c r="O46" s="9" t="str">
        <v>Gani et al. 2021; Kravchenko et al. 2019; Singh et al. 2007b</v>
      </c>
      <c r="P46" s="9" t="str">
        <v>Company; Process</v>
      </c>
      <c r="Q46" s="9" t="str">
        <v>13 Manufacture of textiles; 28 Manufacture of machinery and equipment n.e.c.; 29 Manufacture of motor vehicles, trailers and semi-trailers; 31 Manufacture of furniture; not specified</v>
      </c>
      <c r="R46" s="9" t="str">
        <v>Original forming; Separating; Change of material properties; not specified</v>
      </c>
      <c r="S46" s="9" t="str">
        <v>Micro; Large; not specified</v>
      </c>
      <c r="Y46" s="9"/>
    </row>
    <row r="47" spans="1:25" ht="51.5" customHeight="1" x14ac:dyDescent="0.35">
      <c r="A47" s="9" t="str">
        <v>11-044</v>
      </c>
      <c r="B47" s="9" t="str">
        <v>Input</v>
      </c>
      <c r="C47" s="9" t="str">
        <v>Material</v>
      </c>
      <c r="D47" s="9" t="str">
        <v>Input - Material</v>
      </c>
      <c r="E47" s="9">
        <v>0</v>
      </c>
      <c r="F47" s="9" t="str">
        <v>x</v>
      </c>
      <c r="G47" s="9" t="str">
        <v>Resource Use &amp; Circular Economy</v>
      </c>
      <c r="H47" s="9" t="str">
        <v>Environmental - Resource Use &amp; Circular Economy</v>
      </c>
      <c r="I47" s="12" t="str">
        <v>Take back packaging from post-use</v>
      </c>
      <c r="J47" s="9" t="str">
        <v>This indicator measures the post-use packaging mass/ volume received from consumers/ buyers of a product. Packaging later can be reprocessed on-site.</v>
      </c>
      <c r="K47" s="9" t="str">
        <v>Quantitative</v>
      </c>
      <c r="L47" s="9" t="str">
        <v>unit of mass</v>
      </c>
      <c r="M47" s="9" t="str">
        <v>-</v>
      </c>
      <c r="N47" s="9">
        <v>1</v>
      </c>
      <c r="O47" s="9" t="str">
        <v>Kravchenko et al. 2019</v>
      </c>
      <c r="P47" s="9" t="str">
        <v>Company</v>
      </c>
      <c r="Q47" s="9" t="str">
        <v>13 Manufacture of textiles; 28 Manufacture of machinery and equipment n.e.c.; 31 Manufacture of furniture</v>
      </c>
      <c r="R47" s="9" t="str">
        <v>not specified</v>
      </c>
      <c r="S47" s="9" t="str">
        <v>Micro; Large</v>
      </c>
    </row>
    <row r="48" spans="1:25" ht="51.5" customHeight="1" x14ac:dyDescent="0.35">
      <c r="A48" s="9" t="str">
        <v>11-045</v>
      </c>
      <c r="B48" s="9" t="str">
        <v>Input</v>
      </c>
      <c r="C48" s="9" t="str">
        <v>Material</v>
      </c>
      <c r="D48" s="9" t="str">
        <v>Input - Material</v>
      </c>
      <c r="E48" s="9">
        <v>0</v>
      </c>
      <c r="F48" s="9" t="str">
        <v>x</v>
      </c>
      <c r="G48" s="9" t="str">
        <v>Resource Use &amp; Circular Economy</v>
      </c>
      <c r="H48" s="9" t="str">
        <v>Environmental - Resource Use &amp; Circular Economy</v>
      </c>
      <c r="I48" s="12" t="str">
        <v>Take back packaging from pre-use</v>
      </c>
      <c r="J48" s="9" t="str">
        <v>This indicator measures the pre-use packaging mass/volume received from internal facilities. Parts and materials can be packed and transported internally between factories and facilities. Aim to recirculate packaging internally. Packaging can also be reprocessed on-site.</v>
      </c>
      <c r="K48" s="9" t="str">
        <v>Quantitative</v>
      </c>
      <c r="L48" s="9" t="str">
        <v>unit of mass</v>
      </c>
      <c r="M48" s="9" t="str">
        <v>-</v>
      </c>
      <c r="N48" s="9">
        <v>1</v>
      </c>
      <c r="O48" s="9" t="str">
        <v>Kravchenko et al. 2019</v>
      </c>
      <c r="P48" s="9" t="str">
        <v>Company</v>
      </c>
      <c r="Q48" s="9" t="str">
        <v>13 Manufacture of textiles; 28 Manufacture of machinery and equipment n.e.c.; 31 Manufacture of furniture</v>
      </c>
      <c r="R48" s="9" t="str">
        <v>not specified</v>
      </c>
      <c r="S48" s="9" t="str">
        <v>Micro; Large</v>
      </c>
    </row>
    <row r="49" spans="1:19" ht="51.5" customHeight="1" x14ac:dyDescent="0.35">
      <c r="A49" s="9" t="str">
        <v>11-046</v>
      </c>
      <c r="B49" s="9" t="str">
        <v>Input</v>
      </c>
      <c r="C49" s="9" t="str">
        <v>Material</v>
      </c>
      <c r="D49" s="9" t="str">
        <v>Input - Material</v>
      </c>
      <c r="E49" s="9" t="str">
        <v>x</v>
      </c>
      <c r="F49" s="9">
        <v>0</v>
      </c>
      <c r="G49" s="9" t="str">
        <v>Cost</v>
      </c>
      <c r="H49" s="9" t="str">
        <v>Economic - Cost</v>
      </c>
      <c r="I49" s="12" t="str">
        <v>Packaging material cost</v>
      </c>
      <c r="J49" s="9" t="str">
        <v>This indicator measures the cost of materials associated with the packaging of a product.</v>
      </c>
      <c r="K49" s="9" t="str">
        <v>Quantitative</v>
      </c>
      <c r="L49" s="9" t="str">
        <v>€</v>
      </c>
      <c r="M49" s="9" t="str">
        <v>-</v>
      </c>
      <c r="N49" s="9">
        <v>4</v>
      </c>
      <c r="O49" s="9" t="str">
        <v>Cagno et al. 2019; Huang &amp; Badurdeen 2018; Kravchenko et al. 2019; Mengistu &amp; Panizzolo 2023a</v>
      </c>
      <c r="P49" s="9" t="str">
        <v>Company; Factory; Production line</v>
      </c>
      <c r="Q49" s="9" t="str">
        <v>13 Manufacture of textiles; 24 Manufacture of basic metals; 26 Manufacture of computer, electronic and optical products; 28 Manufacture of machinery and equipment n.e.c.; 31 Manufacture of furniture; not specified</v>
      </c>
      <c r="R49" s="9" t="str">
        <v>Original forming; Joining; Coating and finishing; Change of material properties; not specified</v>
      </c>
      <c r="S49" s="9" t="str">
        <v>Micro; Small; Medium; Large; not specified</v>
      </c>
    </row>
    <row r="50" spans="1:19" ht="51.5" customHeight="1" x14ac:dyDescent="0.35">
      <c r="A50" s="9" t="str">
        <v>11-047</v>
      </c>
      <c r="B50" s="9" t="str">
        <v>Input</v>
      </c>
      <c r="C50" s="9" t="str">
        <v>Material</v>
      </c>
      <c r="D50" s="9" t="str">
        <v>Input - Material</v>
      </c>
      <c r="E50" s="9">
        <v>0</v>
      </c>
      <c r="F50" s="9" t="str">
        <v>x</v>
      </c>
      <c r="G50" s="9" t="str">
        <v>Resource Use &amp; Circular Economy</v>
      </c>
      <c r="H50" s="9" t="str">
        <v>Environmental - Resource Use &amp; Circular Economy</v>
      </c>
      <c r="I50" s="12" t="str">
        <v>Virgin material consumption</v>
      </c>
      <c r="J50" s="9" t="str">
        <v xml:space="preserve">This indicator measures the total weight or volume of virgin materials consumed to all materials consumed. </v>
      </c>
      <c r="K50" s="9" t="str">
        <v>Quantitative</v>
      </c>
      <c r="L50" s="9" t="str">
        <v>%</v>
      </c>
      <c r="M50" s="9" t="str">
        <v>-</v>
      </c>
      <c r="N50" s="9">
        <v>1</v>
      </c>
      <c r="O50" s="9" t="str">
        <v>Kravchenko et al. 2019</v>
      </c>
      <c r="P50" s="9" t="str">
        <v>Company</v>
      </c>
      <c r="Q50" s="9" t="str">
        <v>13 Manufacture of textiles; 28 Manufacture of machinery and equipment n.e.c.; 31 Manufacture of furniture</v>
      </c>
      <c r="R50" s="9" t="str">
        <v>not specified</v>
      </c>
      <c r="S50" s="9" t="str">
        <v>Micro; Large</v>
      </c>
    </row>
    <row r="51" spans="1:19" ht="51.5" customHeight="1" x14ac:dyDescent="0.35">
      <c r="A51" s="9" t="str">
        <v>11-048</v>
      </c>
      <c r="B51" s="9" t="str">
        <v>Input</v>
      </c>
      <c r="C51" s="9" t="str">
        <v>Material</v>
      </c>
      <c r="D51" s="9" t="str">
        <v>Input - Material</v>
      </c>
      <c r="E51" s="9">
        <v>0</v>
      </c>
      <c r="F51" s="9" t="str">
        <v>x</v>
      </c>
      <c r="G51" s="9" t="str">
        <v>Resource Use &amp; Circular Economy</v>
      </c>
      <c r="H51" s="9" t="str">
        <v>Environmental - Resource Use &amp; Circular Economy</v>
      </c>
      <c r="I51" s="12" t="str">
        <v>Virgin material efficiency</v>
      </c>
      <c r="J51" s="9" t="str">
        <v>This indicator measures the ratio of total product output to virgin materials input.</v>
      </c>
      <c r="K51" s="9" t="str">
        <v>Quantitative</v>
      </c>
      <c r="L51" s="9" t="str">
        <v>%</v>
      </c>
      <c r="M51" s="9" t="str">
        <v>-</v>
      </c>
      <c r="N51" s="9">
        <v>1</v>
      </c>
      <c r="O51" s="9" t="str">
        <v>Kibira et al. 2018</v>
      </c>
      <c r="P51" s="9" t="str">
        <v>Process</v>
      </c>
      <c r="Q51" s="9" t="str">
        <v>25 Manufacture of fabricated metal products, except machinery and equipment</v>
      </c>
      <c r="R51" s="9" t="str">
        <v>Separating</v>
      </c>
      <c r="S51" s="9" t="str">
        <v>not specified</v>
      </c>
    </row>
    <row r="52" spans="1:19" ht="51.5" customHeight="1" x14ac:dyDescent="0.35">
      <c r="A52" s="9" t="str">
        <v>11-049</v>
      </c>
      <c r="B52" s="9" t="str">
        <v>Input</v>
      </c>
      <c r="C52" s="9" t="str">
        <v>Material</v>
      </c>
      <c r="D52" s="9" t="str">
        <v>Input - Material</v>
      </c>
      <c r="E52" s="9">
        <v>0</v>
      </c>
      <c r="F52" s="9" t="str">
        <v>x</v>
      </c>
      <c r="G52" s="9" t="str">
        <v>Resource Use &amp; Circular Economy</v>
      </c>
      <c r="H52" s="9" t="str">
        <v>Environmental - Resource Use &amp; Circular Economy</v>
      </c>
      <c r="I52" s="12" t="str">
        <v>Processed, recycled or reused materials consumption</v>
      </c>
      <c r="J52" s="9" t="str">
        <v>This indicator measures the total weight or volume of consumed processed, recycled, or reused material.</v>
      </c>
      <c r="K52" s="9" t="str">
        <v>Quantitative</v>
      </c>
      <c r="L52" s="9" t="str">
        <v>unit of mass</v>
      </c>
      <c r="M52" s="9" t="str">
        <v>-</v>
      </c>
      <c r="N52" s="9">
        <v>3</v>
      </c>
      <c r="O52" s="9" t="str">
        <v>Feil et al. 2017; ISO14031; OECD</v>
      </c>
      <c r="P52" s="9" t="str">
        <v>Company; Factory; Production line; Work cell; Process</v>
      </c>
      <c r="Q52" s="9" t="str">
        <v>31 Manufacture of furniture; not specified</v>
      </c>
      <c r="R52" s="9" t="str">
        <v>not specified</v>
      </c>
      <c r="S52" s="9" t="str">
        <v>Micro; Small; Medium; not specified</v>
      </c>
    </row>
    <row r="53" spans="1:19" ht="51.5" customHeight="1" x14ac:dyDescent="0.35">
      <c r="A53" s="9" t="str">
        <v>11-050</v>
      </c>
      <c r="B53" s="9" t="str">
        <v>Input</v>
      </c>
      <c r="C53" s="9" t="str">
        <v>Material</v>
      </c>
      <c r="D53" s="9" t="str">
        <v>Input - Material</v>
      </c>
      <c r="E53" s="9">
        <v>0</v>
      </c>
      <c r="F53" s="9" t="str">
        <v>x</v>
      </c>
      <c r="G53" s="9" t="str">
        <v>Resource Use &amp; Circular Economy</v>
      </c>
      <c r="H53" s="9" t="str">
        <v>Environmental - Resource Use &amp; Circular Economy</v>
      </c>
      <c r="I53" s="12" t="str">
        <v>Non-renewable materials consumption</v>
      </c>
      <c r="J53" s="9" t="str">
        <v>This indicator measures the total weight or volume of non-renewable materials consumed.</v>
      </c>
      <c r="K53" s="9" t="str">
        <v>Quantitative</v>
      </c>
      <c r="L53" s="9" t="str">
        <v>unit of mass</v>
      </c>
      <c r="M53" s="9" t="str">
        <v>301-1</v>
      </c>
      <c r="N53" s="9">
        <v>3</v>
      </c>
      <c r="O53" s="9" t="str">
        <v>Pinto et al. 2020; Song &amp; Moon 2019; Zarte et al. 2019</v>
      </c>
      <c r="P53" s="9" t="str">
        <v>Company; Factory; Production line</v>
      </c>
      <c r="Q53" s="9" t="str">
        <v>29 Manufacture of motor vehicles, trailers and semi-trailers; 30 Manufacture of other transport equipment; not specified</v>
      </c>
      <c r="R53" s="9" t="str">
        <v>Joining; not specified</v>
      </c>
      <c r="S53" s="9" t="str">
        <v>not specified</v>
      </c>
    </row>
    <row r="54" spans="1:19" ht="51.5" customHeight="1" x14ac:dyDescent="0.35">
      <c r="A54" s="9" t="str">
        <v>11-051</v>
      </c>
      <c r="B54" s="9" t="str">
        <v>Input</v>
      </c>
      <c r="C54" s="9" t="str">
        <v>Material</v>
      </c>
      <c r="D54" s="9" t="str">
        <v>Input - Material</v>
      </c>
      <c r="E54" s="9">
        <v>0</v>
      </c>
      <c r="F54" s="9" t="str">
        <v>x</v>
      </c>
      <c r="G54" s="9" t="str">
        <v>Resource Use &amp; Circular Economy</v>
      </c>
      <c r="H54" s="9" t="str">
        <v>Environmental - Resource Use &amp; Circular Economy</v>
      </c>
      <c r="I54" s="12" t="str">
        <v>Non-renewable material intensity</v>
      </c>
      <c r="J54" s="9" t="str">
        <v>This indicator measures the ratio of the mass of non-renewable material input to a normalization factor (NF). The NF can, e.g., be the number of units produced.</v>
      </c>
      <c r="K54" s="9" t="str">
        <v>Quantitative</v>
      </c>
      <c r="L54" s="9" t="str">
        <v>kg/NF</v>
      </c>
      <c r="M54" s="9" t="str">
        <v>-</v>
      </c>
      <c r="N54" s="9">
        <v>2</v>
      </c>
      <c r="O54" s="9" t="str">
        <v>Linke et al. 2013; OECD</v>
      </c>
      <c r="P54" s="9" t="str">
        <v>Factory; Production line; Work cell; Process</v>
      </c>
      <c r="Q54" s="9" t="str">
        <v>25 Manufacture of fabricated metal products, except machinery and equipment; not specified</v>
      </c>
      <c r="R54" s="9" t="str">
        <v>Separating; not specified</v>
      </c>
      <c r="S54" s="9" t="str">
        <v>Small; Medium; not specified</v>
      </c>
    </row>
    <row r="55" spans="1:19" ht="51.5" customHeight="1" x14ac:dyDescent="0.35">
      <c r="A55" s="9" t="str">
        <v>11-052</v>
      </c>
      <c r="B55" s="9" t="str">
        <v>Input</v>
      </c>
      <c r="C55" s="9" t="str">
        <v>Material</v>
      </c>
      <c r="D55" s="9" t="str">
        <v>Input - Material</v>
      </c>
      <c r="E55" s="9">
        <v>0</v>
      </c>
      <c r="F55" s="9" t="str">
        <v>x</v>
      </c>
      <c r="G55" s="9" t="str">
        <v>Resource Use &amp; Circular Economy</v>
      </c>
      <c r="H55" s="9" t="str">
        <v>Environmental - Resource Use &amp; Circular Economy</v>
      </c>
      <c r="I55" s="12" t="str">
        <v>Renewable material consumption</v>
      </c>
      <c r="J55" s="9" t="str">
        <v>This indicator measures the total weight or volume of renewable materials consumed.</v>
      </c>
      <c r="K55" s="9" t="str">
        <v>Quantitative</v>
      </c>
      <c r="L55" s="9" t="str">
        <v>unit of mass</v>
      </c>
      <c r="M55" s="9" t="str">
        <v>301-1</v>
      </c>
      <c r="N55" s="9">
        <v>4</v>
      </c>
      <c r="O55" s="9" t="str">
        <v>Mengistu &amp; Panizzolo 2023a; Pinto et al. 2020; Song &amp; Moon 2019; Zarte et al. 2019</v>
      </c>
      <c r="P55" s="9" t="str">
        <v>Company; Factory; Production line</v>
      </c>
      <c r="Q55" s="9" t="str">
        <v>29 Manufacture of motor vehicles, trailers and semi-trailers; 30 Manufacture of other transport equipment; not specified</v>
      </c>
      <c r="R55" s="9" t="str">
        <v>Joining; not specified</v>
      </c>
      <c r="S55" s="9" t="str">
        <v>not specified</v>
      </c>
    </row>
    <row r="56" spans="1:19" ht="51.5" customHeight="1" x14ac:dyDescent="0.35">
      <c r="A56" s="9" t="str">
        <v>11-053</v>
      </c>
      <c r="B56" s="9" t="str">
        <v>Input</v>
      </c>
      <c r="C56" s="9" t="str">
        <v>Material</v>
      </c>
      <c r="D56" s="9" t="str">
        <v>Input - Material</v>
      </c>
      <c r="E56" s="9">
        <v>0</v>
      </c>
      <c r="F56" s="9" t="str">
        <v>x</v>
      </c>
      <c r="G56" s="9" t="str">
        <v>Resource Use &amp; Circular Economy</v>
      </c>
      <c r="H56" s="9" t="str">
        <v>Environmental - Resource Use &amp; Circular Economy</v>
      </c>
      <c r="I56" s="12" t="str">
        <v>Renewable materials consumption percentual</v>
      </c>
      <c r="J56" s="9" t="str">
        <v>This indicator measures the ratio of the total weight or volume of renewable materials consumed to all input materials.</v>
      </c>
      <c r="K56" s="9" t="str">
        <v>Quantitative</v>
      </c>
      <c r="L56" s="9" t="str">
        <v>%</v>
      </c>
      <c r="M56" s="9" t="str">
        <v>-</v>
      </c>
      <c r="N56" s="9">
        <v>1</v>
      </c>
      <c r="O56" s="9" t="str">
        <v>Huang &amp; Badurdeen 2018</v>
      </c>
      <c r="P56" s="9" t="str">
        <v>Factory; Production line</v>
      </c>
      <c r="Q56" s="9" t="str">
        <v>26 Manufacture of computer, electronic and optical products</v>
      </c>
      <c r="R56" s="9" t="str">
        <v>Original forming; Joining; Coating and finishing; Change of material properties</v>
      </c>
      <c r="S56" s="9" t="str">
        <v>not specified</v>
      </c>
    </row>
    <row r="57" spans="1:19" ht="51.5" customHeight="1" x14ac:dyDescent="0.35">
      <c r="A57" s="9" t="str">
        <v>11-054</v>
      </c>
      <c r="B57" s="9" t="str">
        <v>Input</v>
      </c>
      <c r="C57" s="9" t="str">
        <v>Material</v>
      </c>
      <c r="D57" s="9" t="str">
        <v>Input - Material</v>
      </c>
      <c r="E57" s="9">
        <v>0</v>
      </c>
      <c r="F57" s="9" t="str">
        <v>x</v>
      </c>
      <c r="G57" s="9" t="str">
        <v>Resource Use &amp; Circular Economy</v>
      </c>
      <c r="H57" s="9" t="str">
        <v>Environmental - Resource Use &amp; Circular Economy</v>
      </c>
      <c r="I57" s="12" t="str">
        <v>Renewable raw material consumption percentual</v>
      </c>
      <c r="J57" s="9" t="str">
        <v>This indicator measures the ratio of the total weight or volume of renewable raw materials consumed to all raw materials.</v>
      </c>
      <c r="K57" s="9" t="str">
        <v>Quantitative</v>
      </c>
      <c r="L57" s="9" t="str">
        <v>%</v>
      </c>
      <c r="M57" s="9" t="str">
        <v>-</v>
      </c>
      <c r="N57" s="9">
        <v>4</v>
      </c>
      <c r="O57" s="9" t="str">
        <v>Feil et al. 2017; Helleno et al. 2017; Kravchenko et al. 2019; Veleva et al. 2001</v>
      </c>
      <c r="P57" s="9" t="str">
        <v>Company; Factory; Production line; Process</v>
      </c>
      <c r="Q57" s="9" t="str">
        <v>13 Manufacture of textiles; 22 Manufacture of rubber and plastic products; 28 Manufacture of machinery and equipment n.e.c.; 31 Manufacture of furniture; not specified</v>
      </c>
      <c r="R57" s="9" t="str">
        <v>Original forming; Transforming; Separating; Coating and finishing; not specified</v>
      </c>
      <c r="S57" s="9" t="str">
        <v>Micro; Small; Medium; Large; not specified</v>
      </c>
    </row>
    <row r="58" spans="1:19" ht="51.5" customHeight="1" x14ac:dyDescent="0.35">
      <c r="A58" s="9" t="str">
        <v>11-055</v>
      </c>
      <c r="B58" s="9" t="str">
        <v>Input</v>
      </c>
      <c r="C58" s="9" t="str">
        <v>Material</v>
      </c>
      <c r="D58" s="9" t="str">
        <v>Input - Material</v>
      </c>
      <c r="E58" s="9" t="str">
        <v>x</v>
      </c>
      <c r="F58" s="9">
        <v>0</v>
      </c>
      <c r="G58" s="9" t="str">
        <v>Cost</v>
      </c>
      <c r="H58" s="9" t="str">
        <v>Economic - Cost</v>
      </c>
      <c r="I58" s="12" t="str">
        <v>Renewable material cost</v>
      </c>
      <c r="J58" s="9" t="str">
        <v>This indicator measures the cost of all renewable materials.</v>
      </c>
      <c r="K58" s="9" t="str">
        <v>Quantitative</v>
      </c>
      <c r="L58" s="9" t="str">
        <v>€</v>
      </c>
      <c r="M58" s="9" t="str">
        <v>-</v>
      </c>
      <c r="N58" s="9">
        <v>1</v>
      </c>
      <c r="O58" s="9" t="str">
        <v>Lee et al. 2014</v>
      </c>
      <c r="P58" s="9" t="str">
        <v>Factory; Production line</v>
      </c>
      <c r="Q58" s="9" t="str">
        <v>29 Manufacture of motor vehicles, trailers and semi-trailers</v>
      </c>
      <c r="R58" s="9" t="str">
        <v>Transforming; Joining</v>
      </c>
      <c r="S58" s="9" t="str">
        <v>not specified</v>
      </c>
    </row>
    <row r="59" spans="1:19" ht="51.5" customHeight="1" x14ac:dyDescent="0.35">
      <c r="A59" s="9" t="str">
        <v>11-056</v>
      </c>
      <c r="B59" s="9" t="str">
        <v>Input</v>
      </c>
      <c r="C59" s="9" t="str">
        <v>Material</v>
      </c>
      <c r="D59" s="9" t="str">
        <v>Input - Material</v>
      </c>
      <c r="E59" s="9">
        <v>0</v>
      </c>
      <c r="F59" s="9" t="str">
        <v>x</v>
      </c>
      <c r="G59" s="9" t="str">
        <v>Resource Use &amp; Circular Economy</v>
      </c>
      <c r="H59" s="9" t="str">
        <v>Environmental - Resource Use &amp; Circular Economy</v>
      </c>
      <c r="I59" s="12" t="str">
        <v>Recyclable material consumption</v>
      </c>
      <c r="J59" s="9" t="str">
        <v>This indicator measures the total weight or volume of recyclable materials consumed. It can also be measured as a ratio to total material input.</v>
      </c>
      <c r="K59" s="9" t="str">
        <v>Quantitative</v>
      </c>
      <c r="L59" s="9" t="str">
        <v>unit of mass</v>
      </c>
      <c r="M59" s="9" t="str">
        <v>-</v>
      </c>
      <c r="N59" s="9">
        <v>4</v>
      </c>
      <c r="O59" s="9" t="str">
        <v>Azapagic &amp; Perdan 2000; Beekaroo et al. 2019; Kravchenko et al. 2019; Singh et al. 2014</v>
      </c>
      <c r="P59" s="9" t="str">
        <v>Company</v>
      </c>
      <c r="Q59" s="9" t="str">
        <v>13 Manufacture of textiles; 27 Manufacture of electrical equipment; 28 Manufacture of machinery and equipment n.e.c.; 29 Manufacture of motor vehicles, trailers and semi-trailers; 31 Manufacture of furniture; not specified</v>
      </c>
      <c r="R59" s="9" t="str">
        <v>not specified</v>
      </c>
      <c r="S59" s="9" t="str">
        <v>Micro; Small; Medium; Large; not specified</v>
      </c>
    </row>
    <row r="60" spans="1:19" ht="51.5" customHeight="1" x14ac:dyDescent="0.35">
      <c r="A60" s="9" t="str">
        <v>11-057</v>
      </c>
      <c r="B60" s="9" t="str">
        <v>Input</v>
      </c>
      <c r="C60" s="9" t="str">
        <v>Material</v>
      </c>
      <c r="D60" s="9" t="str">
        <v>Input - Material</v>
      </c>
      <c r="E60" s="9">
        <v>0</v>
      </c>
      <c r="F60" s="9" t="str">
        <v>x</v>
      </c>
      <c r="G60" s="9" t="str">
        <v>Resource Use &amp; Circular Economy</v>
      </c>
      <c r="H60" s="9" t="str">
        <v>Environmental - Resource Use &amp; Circular Economy</v>
      </c>
      <c r="I60" s="12" t="str">
        <v>Recycled material consumption</v>
      </c>
      <c r="J60" s="9" t="str">
        <v>This indicator measures the total weight or volume of recycled materials consumed.</v>
      </c>
      <c r="K60" s="9" t="str">
        <v>Quantitative</v>
      </c>
      <c r="L60" s="9" t="str">
        <v>unit of mass</v>
      </c>
      <c r="M60" s="9" t="str">
        <v>-</v>
      </c>
      <c r="N60" s="9">
        <v>6</v>
      </c>
      <c r="O60" s="9" t="str">
        <v>Cagno et al. 2019; Feil et al. 2019; Mengistu &amp; Panizzolo 2021; Mengistu &amp; Panizzolo 2023a; Mengistu &amp; Panizzolo 2023b; Zarte et al. 2019</v>
      </c>
      <c r="P60" s="9" t="str">
        <v>Company; Factory</v>
      </c>
      <c r="Q60" s="9" t="str">
        <v>13 Manufacture of textiles; 15 Manufacture of leather and related products; 24 Manufacture of basic metals; 28 Manufacture of machinery and equipment n.e.c.; 31 Manufacture of furniture; not specified</v>
      </c>
      <c r="R60" s="9" t="str">
        <v>not specified</v>
      </c>
      <c r="S60" s="9" t="str">
        <v>Small; Medium; Large; not specified</v>
      </c>
    </row>
    <row r="61" spans="1:19" ht="51.5" customHeight="1" x14ac:dyDescent="0.35">
      <c r="A61" s="9" t="str">
        <v>11-058</v>
      </c>
      <c r="B61" s="9" t="str">
        <v>Input</v>
      </c>
      <c r="C61" s="9" t="str">
        <v>Material</v>
      </c>
      <c r="D61" s="9" t="str">
        <v>Input - Material</v>
      </c>
      <c r="E61" s="9">
        <v>0</v>
      </c>
      <c r="F61" s="9" t="str">
        <v>x</v>
      </c>
      <c r="G61" s="9" t="str">
        <v>Resource Use &amp; Circular Economy</v>
      </c>
      <c r="H61" s="9" t="str">
        <v>Environmental - Resource Use &amp; Circular Economy</v>
      </c>
      <c r="I61" s="12" t="str">
        <v>Recycled material consumption per unit of production</v>
      </c>
      <c r="J61" s="9" t="str">
        <v>This indicator measures the ratio of the total weight or volume of recycled materials consumed per production unit.</v>
      </c>
      <c r="K61" s="9" t="str">
        <v>Quantitative</v>
      </c>
      <c r="L61" s="9" t="str">
        <v>unit of mass/UOP</v>
      </c>
      <c r="M61" s="9" t="str">
        <v>-</v>
      </c>
      <c r="N61" s="9">
        <v>1</v>
      </c>
      <c r="O61" s="9" t="str">
        <v>Tan et al. 2015</v>
      </c>
      <c r="P61" s="9" t="str">
        <v>Company</v>
      </c>
      <c r="Q61" s="9" t="str">
        <v>not specified</v>
      </c>
      <c r="R61" s="9" t="str">
        <v>not specified</v>
      </c>
      <c r="S61" s="9" t="str">
        <v>Small; Medium</v>
      </c>
    </row>
    <row r="62" spans="1:19" ht="51.5" customHeight="1" x14ac:dyDescent="0.35">
      <c r="A62" s="9" t="str">
        <v>11-059</v>
      </c>
      <c r="B62" s="9" t="str">
        <v>Input</v>
      </c>
      <c r="C62" s="9" t="str">
        <v>Material</v>
      </c>
      <c r="D62" s="9" t="str">
        <v>Input - Material</v>
      </c>
      <c r="E62" s="9">
        <v>0</v>
      </c>
      <c r="F62" s="9" t="str">
        <v>x</v>
      </c>
      <c r="G62" s="9" t="str">
        <v>Resource Use &amp; Circular Economy</v>
      </c>
      <c r="H62" s="9" t="str">
        <v>Environmental - Resource Use &amp; Circular Economy</v>
      </c>
      <c r="I62" s="12" t="str">
        <v>Recycled material consumption percentual</v>
      </c>
      <c r="J62" s="9" t="str">
        <v>This indicator measures the ratio of the total weight or volume of recycled materials consumed to all input materials.</v>
      </c>
      <c r="K62" s="9" t="str">
        <v>Quantitative</v>
      </c>
      <c r="L62" s="9" t="str">
        <v>%</v>
      </c>
      <c r="M62" s="9" t="str">
        <v>301-2</v>
      </c>
      <c r="N62" s="9">
        <v>6</v>
      </c>
      <c r="O62" s="9" t="str">
        <v>Dočekalová &amp; Kocmanová 2016; Fan et al. 2010; Gani et al. 2021; Huang &amp; Badurdeen 2017; Kravchenko et al. 2019; Li et al. 2012</v>
      </c>
      <c r="P62" s="9" t="str">
        <v>Company</v>
      </c>
      <c r="Q62" s="9" t="str">
        <v>13 Manufacture of textiles; 26 Manufacture of computer, electronic and optical products; 27 Manufacture of electrical equipment; 28 Manufacture of machinery and equipment n.e.c.; 31 Manufacture of furniture; not specified</v>
      </c>
      <c r="R62" s="9" t="str">
        <v>Original forming; Joining; Coating and finishing; Change of material properties; not specified</v>
      </c>
      <c r="S62" s="9" t="str">
        <v>Micro; Large; not specified</v>
      </c>
    </row>
    <row r="63" spans="1:19" ht="51.5" customHeight="1" x14ac:dyDescent="0.35">
      <c r="A63" s="9" t="str">
        <v>11-060</v>
      </c>
      <c r="B63" s="9" t="str">
        <v>Input</v>
      </c>
      <c r="C63" s="9" t="str">
        <v>Material</v>
      </c>
      <c r="D63" s="9" t="str">
        <v>Input - Material</v>
      </c>
      <c r="E63" s="9">
        <v>0</v>
      </c>
      <c r="F63" s="9" t="str">
        <v>x</v>
      </c>
      <c r="G63" s="9" t="str">
        <v>Resource Use &amp; Circular Economy</v>
      </c>
      <c r="H63" s="9" t="str">
        <v>Environmental - Resource Use &amp; Circular Economy</v>
      </c>
      <c r="I63" s="12" t="str">
        <v>Reused material consumption</v>
      </c>
      <c r="J63" s="9" t="str">
        <v>This indicator measures the total weight or volume of reused materials consumed. It can also be measured as a ratio to total material input.</v>
      </c>
      <c r="K63" s="9" t="str">
        <v>Quantitative</v>
      </c>
      <c r="L63" s="9" t="str">
        <v>unit of mass</v>
      </c>
      <c r="M63" s="9" t="str">
        <v>-</v>
      </c>
      <c r="N63" s="9">
        <v>4</v>
      </c>
      <c r="O63" s="9" t="str">
        <v>Beekaroo et al. 2019; Kravchenko et al. 2019; Pinto et al. 2020; Singh et al. 2014</v>
      </c>
      <c r="P63" s="9" t="str">
        <v>Company</v>
      </c>
      <c r="Q63" s="9" t="str">
        <v>13 Manufacture of textiles; 27 Manufacture of electrical equipment; 28 Manufacture of machinery and equipment n.e.c.; 29 Manufacture of motor vehicles, trailers and semi-trailers; 31 Manufacture of furniture; not specified</v>
      </c>
      <c r="R63" s="9" t="str">
        <v>not specified</v>
      </c>
      <c r="S63" s="9" t="str">
        <v>Micro; Small; Medium; Large; not specified</v>
      </c>
    </row>
    <row r="64" spans="1:19" ht="51.5" customHeight="1" x14ac:dyDescent="0.35">
      <c r="A64" s="9" t="str">
        <v>11-061</v>
      </c>
      <c r="B64" s="9" t="str">
        <v>Input</v>
      </c>
      <c r="C64" s="9" t="str">
        <v>Material</v>
      </c>
      <c r="D64" s="9" t="str">
        <v>Input - Material</v>
      </c>
      <c r="E64" s="9">
        <v>0</v>
      </c>
      <c r="F64" s="9" t="str">
        <v>x</v>
      </c>
      <c r="G64" s="9" t="str">
        <v>Resource Use &amp; Circular Economy</v>
      </c>
      <c r="H64" s="9" t="str">
        <v>Environmental - Resource Use &amp; Circular Economy</v>
      </c>
      <c r="I64" s="12" t="str">
        <v>Reused material consumption per unit of production</v>
      </c>
      <c r="J64" s="9" t="str">
        <v>This indicator measures the total weight or volume of reused materials consumed per production output.</v>
      </c>
      <c r="K64" s="9" t="str">
        <v>Quantitative</v>
      </c>
      <c r="L64" s="9" t="str">
        <v>unit of mass/UOP</v>
      </c>
      <c r="M64" s="9" t="str">
        <v>-</v>
      </c>
      <c r="N64" s="9">
        <v>1</v>
      </c>
      <c r="O64" s="9" t="str">
        <v>Tan et al. 2015</v>
      </c>
      <c r="P64" s="9" t="str">
        <v>Company</v>
      </c>
      <c r="Q64" s="9" t="str">
        <v>not specified</v>
      </c>
      <c r="R64" s="9" t="str">
        <v>not specified</v>
      </c>
      <c r="S64" s="9" t="str">
        <v>Small; Medium</v>
      </c>
    </row>
    <row r="65" spans="1:19" ht="51.5" customHeight="1" x14ac:dyDescent="0.35">
      <c r="A65" s="9" t="str">
        <v>11-062</v>
      </c>
      <c r="B65" s="9" t="str">
        <v>Input</v>
      </c>
      <c r="C65" s="9" t="str">
        <v>Material</v>
      </c>
      <c r="D65" s="9" t="str">
        <v>Input - Material</v>
      </c>
      <c r="E65" s="9">
        <v>0</v>
      </c>
      <c r="F65" s="9" t="str">
        <v>x</v>
      </c>
      <c r="G65" s="9" t="str">
        <v>Resource Use &amp; Circular Economy</v>
      </c>
      <c r="H65" s="9" t="str">
        <v>Environmental - Resource Use &amp; Circular Economy</v>
      </c>
      <c r="I65" s="12" t="str">
        <v>Reused raw material consumption</v>
      </c>
      <c r="J65" s="9" t="str">
        <v>This indicator measures the total weight or volume of reused raw materials consumed.</v>
      </c>
      <c r="K65" s="9" t="str">
        <v>Quantitative</v>
      </c>
      <c r="L65" s="9" t="str">
        <v>unit of mass</v>
      </c>
      <c r="M65" s="9" t="str">
        <v>-</v>
      </c>
      <c r="N65" s="9">
        <v>1</v>
      </c>
      <c r="O65" s="9" t="str">
        <v>ISO14031</v>
      </c>
      <c r="P65" s="9" t="str">
        <v>Company; Factory</v>
      </c>
      <c r="Q65" s="9" t="str">
        <v>not specified</v>
      </c>
      <c r="R65" s="9" t="str">
        <v>not specified</v>
      </c>
      <c r="S65" s="9" t="str">
        <v>not specified</v>
      </c>
    </row>
    <row r="66" spans="1:19" ht="51.5" customHeight="1" x14ac:dyDescent="0.35">
      <c r="A66" s="9" t="str">
        <v>11-063</v>
      </c>
      <c r="B66" s="9" t="str">
        <v>Input</v>
      </c>
      <c r="C66" s="9" t="str">
        <v>Material</v>
      </c>
      <c r="D66" s="9" t="str">
        <v>Input - Material</v>
      </c>
      <c r="E66" s="9">
        <v>0</v>
      </c>
      <c r="F66" s="9" t="str">
        <v>x</v>
      </c>
      <c r="G66" s="9" t="str">
        <v>Resource Use &amp; Circular Economy</v>
      </c>
      <c r="H66" s="9" t="str">
        <v>Environmental - Resource Use &amp; Circular Economy</v>
      </c>
      <c r="I66" s="12" t="str">
        <v>Reused raw material consumption percentual</v>
      </c>
      <c r="J66" s="9" t="str">
        <v>This indicator measures the ratio of the total weight or volume of reused raw materials consumed to all raw materials.</v>
      </c>
      <c r="K66" s="9" t="str">
        <v>Quantitative</v>
      </c>
      <c r="L66" s="9" t="str">
        <v>%</v>
      </c>
      <c r="M66" s="9" t="str">
        <v>-</v>
      </c>
      <c r="N66" s="9">
        <v>2</v>
      </c>
      <c r="O66" s="9" t="str">
        <v>Swarnakar et al. 2021; Swarnakar et al. 2022</v>
      </c>
      <c r="P66" s="9" t="str">
        <v>Process</v>
      </c>
      <c r="Q66" s="9" t="str">
        <v>28 Manufacture of machinery and equipment n.e.c.; 29 Manufacture of motor vehicles, trailers and semi-trailers; not specified</v>
      </c>
      <c r="R66" s="9" t="str">
        <v>Transforming; Separating; Coating and finishing; Change of material properties; not specified</v>
      </c>
      <c r="S66" s="9" t="str">
        <v>not specified</v>
      </c>
    </row>
    <row r="67" spans="1:19" ht="51.5" customHeight="1" x14ac:dyDescent="0.35">
      <c r="A67" s="9" t="str">
        <v>11-064</v>
      </c>
      <c r="B67" s="9" t="str">
        <v>Input</v>
      </c>
      <c r="C67" s="9" t="str">
        <v>Material</v>
      </c>
      <c r="D67" s="9" t="str">
        <v>Input - Material</v>
      </c>
      <c r="E67" s="9">
        <v>0</v>
      </c>
      <c r="F67" s="9" t="str">
        <v>x</v>
      </c>
      <c r="G67" s="9" t="str">
        <v>Resource Use &amp; Circular Economy</v>
      </c>
      <c r="H67" s="9" t="str">
        <v>Environmental - Resource Use &amp; Circular Economy</v>
      </c>
      <c r="I67" s="12" t="str">
        <v>Reprocessed material consumption</v>
      </c>
      <c r="J67" s="9" t="str">
        <v>This indicator measures the total weight or volume of reprocessed materials consumed. It can also be measured as a ratio to total material input.</v>
      </c>
      <c r="K67" s="9" t="str">
        <v>Quantitative</v>
      </c>
      <c r="L67" s="9" t="str">
        <v>unit of mass</v>
      </c>
      <c r="M67" s="9" t="str">
        <v>-</v>
      </c>
      <c r="N67" s="9">
        <v>2</v>
      </c>
      <c r="O67" s="9" t="str">
        <v>Gani et al. 2021; Pusporini &amp; Vanany 2019</v>
      </c>
      <c r="P67" s="9" t="str">
        <v>Company</v>
      </c>
      <c r="Q67" s="9" t="str">
        <v>not specified</v>
      </c>
      <c r="R67" s="9" t="str">
        <v>not specified</v>
      </c>
      <c r="S67" s="9" t="str">
        <v>not specified</v>
      </c>
    </row>
    <row r="68" spans="1:19" ht="51.5" customHeight="1" x14ac:dyDescent="0.35">
      <c r="A68" s="9" t="str">
        <v>11-065</v>
      </c>
      <c r="B68" s="9" t="str">
        <v>Input</v>
      </c>
      <c r="C68" s="9" t="str">
        <v>Material</v>
      </c>
      <c r="D68" s="9" t="str">
        <v>Input - Material</v>
      </c>
      <c r="E68" s="9">
        <v>0</v>
      </c>
      <c r="F68" s="9" t="str">
        <v>x</v>
      </c>
      <c r="G68" s="9" t="str">
        <v>Resource Use &amp; Circular Economy</v>
      </c>
      <c r="H68" s="9" t="str">
        <v>Environmental - Resource Use &amp; Circular Economy</v>
      </c>
      <c r="I68" s="12" t="str">
        <v>Hazardous material consumption</v>
      </c>
      <c r="J68" s="9" t="str">
        <v>This indicator measures the total weight or volume of hazardous (toxic, harmful) materials consumed.</v>
      </c>
      <c r="K68" s="9" t="str">
        <v>Quantitative</v>
      </c>
      <c r="L68" s="9" t="str">
        <v>unit of mass</v>
      </c>
      <c r="M68" s="9" t="str">
        <v>-</v>
      </c>
      <c r="N68" s="9">
        <v>7</v>
      </c>
      <c r="O68" s="9" t="str">
        <v>Cagno et al. 2019; Cagno et al. 2023; Feil et al. 2019; Gani et al. 2021; Kravchenko et al. 2019; Mengistu &amp; Panizzolo 2023a; Singh et al. 2014</v>
      </c>
      <c r="P68" s="9" t="str">
        <v>Company</v>
      </c>
      <c r="Q68" s="9" t="str">
        <v>13 Manufacture of textiles; 23 Manufacture of other non-metallic mineral products; 24 Manufacture of basic metals; 27 Manufacture of electrical equipment; 28 Manufacture of machinery and equipment n.e.c.; 29 Manufacture of motor vehicles, trailers and semi-trailers; 31 Manufacture of furniture; not specified</v>
      </c>
      <c r="R68" s="9" t="str">
        <v>not specified</v>
      </c>
      <c r="S68" s="9" t="str">
        <v>Micro; Small; Medium; Large; not specified</v>
      </c>
    </row>
    <row r="69" spans="1:19" ht="51.5" customHeight="1" x14ac:dyDescent="0.35">
      <c r="A69" s="9" t="str">
        <v>11-066</v>
      </c>
      <c r="B69" s="9" t="str">
        <v>Input</v>
      </c>
      <c r="C69" s="9" t="str">
        <v>Material</v>
      </c>
      <c r="D69" s="9" t="str">
        <v>Input - Material</v>
      </c>
      <c r="E69" s="9">
        <v>0</v>
      </c>
      <c r="F69" s="9" t="str">
        <v>x</v>
      </c>
      <c r="G69" s="9" t="str">
        <v>Resource Use &amp; Circular Economy</v>
      </c>
      <c r="H69" s="9" t="str">
        <v>Environmental - Resource Use &amp; Circular Economy</v>
      </c>
      <c r="I69" s="12" t="str">
        <v>Hazardous material consumption per unit of production</v>
      </c>
      <c r="J69" s="9" t="str">
        <v>This indicator measures the mass of hazardous material input per production output.</v>
      </c>
      <c r="K69" s="9" t="str">
        <v>Quantitative</v>
      </c>
      <c r="L69" s="9" t="str">
        <v>unit of mass/UOP</v>
      </c>
      <c r="M69" s="9" t="str">
        <v>-</v>
      </c>
      <c r="N69" s="9">
        <v>1</v>
      </c>
      <c r="O69" s="9" t="str">
        <v>Singh et al. 2007b</v>
      </c>
      <c r="P69" s="9" t="str">
        <v>Process</v>
      </c>
      <c r="Q69" s="9" t="str">
        <v>29 Manufacture of motor vehicles, trailers and semi-trailers</v>
      </c>
      <c r="R69" s="9" t="str">
        <v>Original forming; Separating; Change of material properties</v>
      </c>
      <c r="S69" s="9" t="str">
        <v>not specified</v>
      </c>
    </row>
    <row r="70" spans="1:19" ht="51.5" customHeight="1" x14ac:dyDescent="0.35">
      <c r="A70" s="9" t="str">
        <v>11-067</v>
      </c>
      <c r="B70" s="9" t="str">
        <v>Input</v>
      </c>
      <c r="C70" s="9" t="str">
        <v>Material</v>
      </c>
      <c r="D70" s="9" t="str">
        <v>Input - Material</v>
      </c>
      <c r="E70" s="9">
        <v>0</v>
      </c>
      <c r="F70" s="9" t="str">
        <v>x</v>
      </c>
      <c r="G70" s="9" t="str">
        <v>Resource Use &amp; Circular Economy</v>
      </c>
      <c r="H70" s="9" t="str">
        <v>Environmental - Resource Use &amp; Circular Economy</v>
      </c>
      <c r="I70" s="12" t="str">
        <v>Hazardous material consumption percentual</v>
      </c>
      <c r="J70" s="9" t="str">
        <v>This indicator measures the ratio of the total weight or volume of hazardous materials consumed to all input materials.</v>
      </c>
      <c r="K70" s="9" t="str">
        <v>Quantitative</v>
      </c>
      <c r="L70" s="9" t="str">
        <v>%</v>
      </c>
      <c r="M70" s="9" t="str">
        <v>-</v>
      </c>
      <c r="N70" s="9">
        <v>5</v>
      </c>
      <c r="O70" s="9" t="str">
        <v>Beekaroo et al. 2019; Huang &amp; Badurdeen 2017; Huang &amp; Badurdeen 2018; Kaldas et al. 2021; Rao et al. 2006</v>
      </c>
      <c r="P70" s="9" t="str">
        <v>Company; Factory; Production line</v>
      </c>
      <c r="Q70" s="9" t="str">
        <v>13 Manufacture of textiles; 25 Manufacture of fabricated metal products, except machinery and equipment; 26 Manufacture of computer, electronic and optical products; 29 Manufacture of motor vehicles, trailers and semi-trailers; 31 Manufacture of furniture; 32 Other manufacturing; not specified</v>
      </c>
      <c r="R70" s="9" t="str">
        <v>Original forming; Joining; Coating and finishing; Change of material properties; not specified</v>
      </c>
      <c r="S70" s="9" t="str">
        <v>Small; Medium; not specified</v>
      </c>
    </row>
    <row r="71" spans="1:19" ht="51.5" customHeight="1" x14ac:dyDescent="0.35">
      <c r="A71" s="9" t="str">
        <v>11-068</v>
      </c>
      <c r="B71" s="9" t="str">
        <v>Input</v>
      </c>
      <c r="C71" s="9" t="str">
        <v>Material</v>
      </c>
      <c r="D71" s="9" t="str">
        <v>Input - Material</v>
      </c>
      <c r="E71" s="9">
        <v>0</v>
      </c>
      <c r="F71" s="9" t="str">
        <v>x</v>
      </c>
      <c r="G71" s="9" t="str">
        <v>Resource Use &amp; Circular Economy</v>
      </c>
      <c r="H71" s="9" t="str">
        <v>Environmental - Resource Use &amp; Circular Economy</v>
      </c>
      <c r="I71" s="12" t="str">
        <v>Hazardous raw material consumption</v>
      </c>
      <c r="J71" s="9" t="str">
        <v>This indicator measures the total weight or volume of raw hazardous materials consumed.</v>
      </c>
      <c r="K71" s="9" t="str">
        <v>Quantitative</v>
      </c>
      <c r="L71" s="9" t="str">
        <v>unit of mass</v>
      </c>
      <c r="M71" s="9" t="str">
        <v>-</v>
      </c>
      <c r="N71" s="9">
        <v>2</v>
      </c>
      <c r="O71" s="9" t="str">
        <v>Bhakar et al. 2018; Pinto et al. 2020</v>
      </c>
      <c r="P71" s="9" t="str">
        <v>Company</v>
      </c>
      <c r="Q71" s="9" t="str">
        <v>23 Manufacture of other non-metallic mineral products; 29 Manufacture of motor vehicles, trailers and semi-trailers</v>
      </c>
      <c r="R71" s="9" t="str">
        <v>not specified</v>
      </c>
      <c r="S71" s="9" t="str">
        <v>not specified</v>
      </c>
    </row>
    <row r="72" spans="1:19" ht="51.5" customHeight="1" x14ac:dyDescent="0.35">
      <c r="A72" s="9" t="str">
        <v>11-069</v>
      </c>
      <c r="B72" s="9" t="str">
        <v>Input</v>
      </c>
      <c r="C72" s="9" t="str">
        <v>Material</v>
      </c>
      <c r="D72" s="9" t="str">
        <v>Input - Material</v>
      </c>
      <c r="E72" s="9">
        <v>0</v>
      </c>
      <c r="F72" s="9" t="str">
        <v>x</v>
      </c>
      <c r="G72" s="9" t="str">
        <v>Resource Use &amp; Circular Economy</v>
      </c>
      <c r="H72" s="9" t="str">
        <v>Environmental - Resource Use &amp; Circular Economy</v>
      </c>
      <c r="I72" s="12" t="str">
        <v>Toxic material consumption</v>
      </c>
      <c r="J72" s="9" t="str">
        <v>This indicator measures the total weight or volume of toxic materials consumed.</v>
      </c>
      <c r="K72" s="9" t="str">
        <v>Quantitative</v>
      </c>
      <c r="L72" s="9" t="str">
        <v>unit of mass</v>
      </c>
      <c r="M72" s="9" t="str">
        <v>-</v>
      </c>
      <c r="N72" s="9">
        <v>2</v>
      </c>
      <c r="O72" s="9" t="str">
        <v>Cagno et al. 2019; ISO14031</v>
      </c>
      <c r="P72" s="9" t="str">
        <v>Company; Factory</v>
      </c>
      <c r="Q72" s="9" t="str">
        <v>13 Manufacture of textiles; 24 Manufacture of basic metals; 28 Manufacture of machinery and equipment n.e.c.; 31 Manufacture of furniture; not specified</v>
      </c>
      <c r="R72" s="9" t="str">
        <v>not specified</v>
      </c>
      <c r="S72" s="9" t="str">
        <v>Small; Medium; Large; not specified</v>
      </c>
    </row>
    <row r="73" spans="1:19" ht="51.5" customHeight="1" x14ac:dyDescent="0.35">
      <c r="A73" s="9" t="str">
        <v>11-070</v>
      </c>
      <c r="B73" s="9" t="str">
        <v>Input</v>
      </c>
      <c r="C73" s="9" t="str">
        <v>Material</v>
      </c>
      <c r="D73" s="9" t="str">
        <v>Input - Material</v>
      </c>
      <c r="E73" s="9">
        <v>0</v>
      </c>
      <c r="F73" s="9" t="str">
        <v>x</v>
      </c>
      <c r="G73" s="9" t="str">
        <v>Resource Use &amp; Circular Economy</v>
      </c>
      <c r="H73" s="9" t="str">
        <v>Environmental - Resource Use &amp; Circular Economy</v>
      </c>
      <c r="I73" s="12" t="str">
        <v>Harmful material consumption</v>
      </c>
      <c r="J73" s="9" t="str">
        <v>This indicator measures the total weight or volume of harmful materials consumed.</v>
      </c>
      <c r="K73" s="9" t="str">
        <v>Quantitative</v>
      </c>
      <c r="L73" s="9" t="str">
        <v>unit of mass</v>
      </c>
      <c r="M73" s="9" t="str">
        <v>-</v>
      </c>
      <c r="N73" s="9">
        <v>1</v>
      </c>
      <c r="O73" s="9" t="str">
        <v>Pusporini &amp; Vanany 2019</v>
      </c>
      <c r="P73" s="9" t="str">
        <v>Company</v>
      </c>
      <c r="Q73" s="9" t="str">
        <v>not specified</v>
      </c>
      <c r="R73" s="9" t="str">
        <v>not specified</v>
      </c>
      <c r="S73" s="9" t="str">
        <v>not specified</v>
      </c>
    </row>
    <row r="74" spans="1:19" ht="51.5" customHeight="1" x14ac:dyDescent="0.35">
      <c r="A74" s="9" t="str">
        <v>11-071</v>
      </c>
      <c r="B74" s="9" t="str">
        <v>Input</v>
      </c>
      <c r="C74" s="9" t="str">
        <v>Material</v>
      </c>
      <c r="D74" s="9" t="str">
        <v>Input - Material</v>
      </c>
      <c r="E74" s="9">
        <v>0</v>
      </c>
      <c r="F74" s="9" t="str">
        <v>x</v>
      </c>
      <c r="G74" s="9" t="str">
        <v>Resource Use &amp; Circular Economy</v>
      </c>
      <c r="H74" s="9" t="str">
        <v>Environmental - Resource Use &amp; Circular Economy</v>
      </c>
      <c r="I74" s="12" t="str">
        <v>Chemicals consumption</v>
      </c>
      <c r="J74" s="9" t="str">
        <v>This indicator measures the volume of chemicals (solvents, substances) consumed.</v>
      </c>
      <c r="K74" s="9" t="str">
        <v>Quantitative</v>
      </c>
      <c r="L74" s="9" t="str">
        <v>L</v>
      </c>
      <c r="M74" s="9" t="str">
        <v>-</v>
      </c>
      <c r="N74" s="9">
        <v>1</v>
      </c>
      <c r="O74" s="9" t="str">
        <v>Kravchenko et al. 2019</v>
      </c>
      <c r="P74" s="9" t="str">
        <v>Company</v>
      </c>
      <c r="Q74" s="9" t="str">
        <v>13 Manufacture of textiles; 28 Manufacture of machinery and equipment n.e.c.; 31 Manufacture of furniture</v>
      </c>
      <c r="R74" s="9" t="str">
        <v>not specified</v>
      </c>
      <c r="S74" s="9" t="str">
        <v>Micro; Large</v>
      </c>
    </row>
    <row r="75" spans="1:19" ht="51.5" customHeight="1" x14ac:dyDescent="0.35">
      <c r="A75" s="9" t="str">
        <v>11-072</v>
      </c>
      <c r="B75" s="9" t="str">
        <v>Input</v>
      </c>
      <c r="C75" s="9" t="str">
        <v>Material</v>
      </c>
      <c r="D75" s="9" t="str">
        <v>Input - Material</v>
      </c>
      <c r="E75" s="9">
        <v>0</v>
      </c>
      <c r="F75" s="9" t="str">
        <v>x</v>
      </c>
      <c r="G75" s="9" t="str">
        <v>Resource Use &amp; Circular Economy</v>
      </c>
      <c r="H75" s="9" t="str">
        <v>Environmental - Resource Use &amp; Circular Economy</v>
      </c>
      <c r="I75" s="12" t="str">
        <v>Chemicals consumption per unit of production</v>
      </c>
      <c r="J75" s="9" t="str">
        <v>This indicator measures the volume of chemicals consumed per production output.</v>
      </c>
      <c r="K75" s="9" t="str">
        <v>Quantitative</v>
      </c>
      <c r="L75" s="9" t="str">
        <v>unit of volume/UOP</v>
      </c>
      <c r="M75" s="9" t="str">
        <v>-</v>
      </c>
      <c r="N75" s="9">
        <v>1</v>
      </c>
      <c r="O75" s="9" t="str">
        <v>Singh et al. 2007b</v>
      </c>
      <c r="P75" s="9" t="str">
        <v>Process</v>
      </c>
      <c r="Q75" s="9" t="str">
        <v>29 Manufacture of motor vehicles, trailers and semi-trailers</v>
      </c>
      <c r="R75" s="9" t="str">
        <v>Original forming; Separating; Change of material properties</v>
      </c>
      <c r="S75" s="9" t="str">
        <v>not specified</v>
      </c>
    </row>
    <row r="76" spans="1:19" ht="51.5" customHeight="1" x14ac:dyDescent="0.35">
      <c r="A76" s="9" t="str">
        <v>11-073</v>
      </c>
      <c r="B76" s="9" t="str">
        <v>Input</v>
      </c>
      <c r="C76" s="9" t="str">
        <v>Material</v>
      </c>
      <c r="D76" s="9" t="str">
        <v>Input - Material</v>
      </c>
      <c r="E76" s="9">
        <v>0</v>
      </c>
      <c r="F76" s="9" t="str">
        <v>x</v>
      </c>
      <c r="G76" s="9" t="str">
        <v>Resource Use &amp; Circular Economy</v>
      </c>
      <c r="H76" s="9" t="str">
        <v>Environmental - Resource Use &amp; Circular Economy</v>
      </c>
      <c r="I76" s="12" t="str">
        <v>Number of chemicals</v>
      </c>
      <c r="J76" s="9" t="str">
        <v>This indicator measures the number of chemicals used.</v>
      </c>
      <c r="K76" s="9" t="str">
        <v>Quantitative</v>
      </c>
      <c r="L76" s="9" t="str">
        <v>#</v>
      </c>
      <c r="M76" s="9" t="str">
        <v>-</v>
      </c>
      <c r="N76" s="9">
        <v>1</v>
      </c>
      <c r="O76" s="9" t="str">
        <v>Park &amp; Kremer 2017</v>
      </c>
      <c r="P76" s="9" t="str">
        <v>Company</v>
      </c>
      <c r="Q76" s="9" t="str">
        <v>not specified</v>
      </c>
      <c r="R76" s="9" t="str">
        <v>not specified</v>
      </c>
      <c r="S76" s="9" t="str">
        <v>not specified</v>
      </c>
    </row>
    <row r="77" spans="1:19" ht="51.5" customHeight="1" x14ac:dyDescent="0.35">
      <c r="A77" s="9" t="str">
        <v>11-074</v>
      </c>
      <c r="B77" s="9" t="str">
        <v>Input</v>
      </c>
      <c r="C77" s="9" t="str">
        <v>Material</v>
      </c>
      <c r="D77" s="9" t="str">
        <v>Input - Material</v>
      </c>
      <c r="E77" s="9">
        <v>0</v>
      </c>
      <c r="F77" s="9" t="str">
        <v>x</v>
      </c>
      <c r="G77" s="9" t="str">
        <v>Pollution</v>
      </c>
      <c r="H77" s="9" t="str">
        <v>Environmental - Pollution</v>
      </c>
      <c r="I77" s="12" t="str">
        <v>PBT chemicals consumption</v>
      </c>
      <c r="J77" s="9" t="str">
        <v>This indicator measures the volume of PBT chemicals consumed.</v>
      </c>
      <c r="K77" s="9" t="str">
        <v>Quantitative</v>
      </c>
      <c r="L77" s="9" t="str">
        <v>L</v>
      </c>
      <c r="M77" s="9" t="str">
        <v>-</v>
      </c>
      <c r="N77" s="9">
        <v>1</v>
      </c>
      <c r="O77" s="9" t="str">
        <v>Gani et al. 2021</v>
      </c>
      <c r="P77" s="9" t="str">
        <v>Company</v>
      </c>
      <c r="Q77" s="9" t="str">
        <v>not specified</v>
      </c>
      <c r="R77" s="9" t="str">
        <v>not specified</v>
      </c>
      <c r="S77" s="9" t="str">
        <v>not specified</v>
      </c>
    </row>
    <row r="78" spans="1:19" ht="51.5" customHeight="1" x14ac:dyDescent="0.35">
      <c r="A78" s="9" t="str">
        <v>11-075</v>
      </c>
      <c r="B78" s="9" t="str">
        <v>Input</v>
      </c>
      <c r="C78" s="9" t="str">
        <v>Material</v>
      </c>
      <c r="D78" s="9" t="str">
        <v>Input - Material</v>
      </c>
      <c r="E78" s="9">
        <v>0</v>
      </c>
      <c r="F78" s="9" t="str">
        <v>x</v>
      </c>
      <c r="G78" s="9" t="str">
        <v>Pollution</v>
      </c>
      <c r="H78" s="9" t="str">
        <v>Environmental - Pollution</v>
      </c>
      <c r="I78" s="12" t="str">
        <v>Hazardous chemicals consumption</v>
      </c>
      <c r="J78" s="9" t="str">
        <v>This indicator measures the volume of hazardous chemicals consumed.</v>
      </c>
      <c r="K78" s="9" t="str">
        <v>Quantitative</v>
      </c>
      <c r="L78" s="9" t="str">
        <v>L</v>
      </c>
      <c r="M78" s="9" t="str">
        <v>-</v>
      </c>
      <c r="N78" s="9">
        <v>2</v>
      </c>
      <c r="O78" s="9" t="str">
        <v>Moldavska &amp; Welo 2018; Vimal et al. 2015</v>
      </c>
      <c r="P78" s="9" t="str">
        <v>Company; Process</v>
      </c>
      <c r="Q78" s="9" t="str">
        <v>22 Manufacture of rubber and plastic products; 28 Manufacture of machinery and equipment n.e.c.; 29 Manufacture of motor vehicles, trailers and semi-trailers; not specified</v>
      </c>
      <c r="R78" s="9" t="str">
        <v>Joining; not specified</v>
      </c>
      <c r="S78" s="9" t="str">
        <v>Small; Medium; not specified</v>
      </c>
    </row>
    <row r="79" spans="1:19" ht="51.5" customHeight="1" x14ac:dyDescent="0.35">
      <c r="A79" s="9" t="str">
        <v>11-076</v>
      </c>
      <c r="B79" s="9" t="str">
        <v>Input</v>
      </c>
      <c r="C79" s="9" t="str">
        <v>Material</v>
      </c>
      <c r="D79" s="9" t="str">
        <v>Input - Material</v>
      </c>
      <c r="E79" s="9">
        <v>0</v>
      </c>
      <c r="F79" s="9" t="str">
        <v>x</v>
      </c>
      <c r="G79" s="9" t="str">
        <v>Pollution</v>
      </c>
      <c r="H79" s="9" t="str">
        <v>Environmental - Pollution</v>
      </c>
      <c r="I79" s="12" t="str">
        <v>Restricted chemicals consumption</v>
      </c>
      <c r="J79" s="9" t="str">
        <v>This indicator measures the volume of restricted chemicals consumed (e.g., REACH).</v>
      </c>
      <c r="K79" s="9" t="str">
        <v>Quantitative</v>
      </c>
      <c r="L79" s="9" t="str">
        <v>L</v>
      </c>
      <c r="M79" s="9" t="str">
        <v>-</v>
      </c>
      <c r="N79" s="9">
        <v>4</v>
      </c>
      <c r="O79" s="9" t="str">
        <v>Huang &amp; Badurdeen 2018; Kravchenko et al. 2019; Linke et al. 2013; OECD</v>
      </c>
      <c r="P79" s="9" t="str">
        <v>Company; Factory; Production line; Work cell; Process</v>
      </c>
      <c r="Q79" s="9" t="str">
        <v>13 Manufacture of textiles; 25 Manufacture of fabricated metal products, except machinery and equipment; 26 Manufacture of computer, electronic and optical products; 28 Manufacture of machinery and equipment n.e.c.; 31 Manufacture of furniture; not specified</v>
      </c>
      <c r="R79" s="9" t="str">
        <v>Original forming; Separating; Joining; Coating and finishing; Change of material properties; not specified</v>
      </c>
      <c r="S79" s="9" t="str">
        <v>Micro; Small; Medium; Large; not specified</v>
      </c>
    </row>
    <row r="80" spans="1:19" ht="51.5" customHeight="1" x14ac:dyDescent="0.35">
      <c r="A80" s="9" t="str">
        <v>11-077</v>
      </c>
      <c r="B80" s="9" t="str">
        <v>Input</v>
      </c>
      <c r="C80" s="9" t="str">
        <v>Material</v>
      </c>
      <c r="D80" s="9" t="str">
        <v>Input - Material</v>
      </c>
      <c r="E80" s="9">
        <v>0</v>
      </c>
      <c r="F80" s="9" t="str">
        <v>x</v>
      </c>
      <c r="G80" s="9" t="str">
        <v>Resource Use &amp; Circular Economy</v>
      </c>
      <c r="H80" s="9" t="str">
        <v>Environmental - Resource Use &amp; Circular Economy</v>
      </c>
      <c r="I80" s="12" t="str">
        <v>Amount of Critical Raw Materials</v>
      </c>
      <c r="J80" s="9" t="str">
        <v>This indicator measures the amount of critical raw materials (in the "List of Critical Raw Materials for the EU") used.</v>
      </c>
      <c r="K80" s="9" t="str">
        <v>Quantitative</v>
      </c>
      <c r="L80" s="9" t="str">
        <v>unit of mass</v>
      </c>
      <c r="M80" s="9" t="str">
        <v>-</v>
      </c>
      <c r="N80" s="9">
        <v>1</v>
      </c>
      <c r="O80" s="9" t="str">
        <v>Kravchenko et al. 2019</v>
      </c>
      <c r="P80" s="9" t="str">
        <v>Company</v>
      </c>
      <c r="Q80" s="9" t="str">
        <v>13 Manufacture of textiles; 28 Manufacture of machinery and equipment n.e.c.; 31 Manufacture of furniture</v>
      </c>
      <c r="R80" s="9" t="str">
        <v>not specified</v>
      </c>
      <c r="S80" s="9" t="str">
        <v>Micro; Large</v>
      </c>
    </row>
    <row r="81" spans="1:19" ht="51.5" customHeight="1" x14ac:dyDescent="0.35">
      <c r="A81" s="9" t="str">
        <v>11-078</v>
      </c>
      <c r="B81" s="9" t="str">
        <v>Input</v>
      </c>
      <c r="C81" s="9" t="str">
        <v>Material</v>
      </c>
      <c r="D81" s="9" t="str">
        <v>Input - Material</v>
      </c>
      <c r="E81" s="9">
        <v>0</v>
      </c>
      <c r="F81" s="9" t="str">
        <v>x</v>
      </c>
      <c r="G81" s="9" t="str">
        <v>Resource Use &amp; Circular Economy</v>
      </c>
      <c r="H81" s="9" t="str">
        <v>Environmental - Resource Use &amp; Circular Economy</v>
      </c>
      <c r="I81" s="12" t="str">
        <v>Amount of Conflict Resources</v>
      </c>
      <c r="J81" s="9" t="str">
        <v>This indicator measures the amount of conflict materials used, such as tin, tungsten, tantalum and gold.</v>
      </c>
      <c r="K81" s="9" t="str">
        <v>Quantitative</v>
      </c>
      <c r="L81" s="9" t="str">
        <v>unit of mass</v>
      </c>
      <c r="M81" s="9" t="str">
        <v>-</v>
      </c>
      <c r="N81" s="9">
        <v>1</v>
      </c>
      <c r="O81" s="9" t="str">
        <v>Kravchenko et al. 2019</v>
      </c>
      <c r="P81" s="9" t="str">
        <v>Company</v>
      </c>
      <c r="Q81" s="9" t="str">
        <v>13 Manufacture of textiles; 28 Manufacture of machinery and equipment n.e.c.; 31 Manufacture of furniture</v>
      </c>
      <c r="R81" s="9" t="str">
        <v>not specified</v>
      </c>
      <c r="S81" s="9" t="str">
        <v>Micro; Large</v>
      </c>
    </row>
    <row r="82" spans="1:19" ht="51.5" customHeight="1" x14ac:dyDescent="0.35">
      <c r="A82" s="9" t="str">
        <v>11-079</v>
      </c>
      <c r="B82" s="9" t="str">
        <v>Input</v>
      </c>
      <c r="C82" s="9" t="str">
        <v>Material</v>
      </c>
      <c r="D82" s="9" t="str">
        <v>Input - Material</v>
      </c>
      <c r="E82" s="9">
        <v>0</v>
      </c>
      <c r="F82" s="9" t="str">
        <v>x</v>
      </c>
      <c r="G82" s="9" t="str">
        <v>Resource Use &amp; Circular Economy</v>
      </c>
      <c r="H82" s="9" t="str">
        <v>Environmental - Resource Use &amp; Circular Economy</v>
      </c>
      <c r="I82" s="12" t="str">
        <v>Product-Level Circularity Metric</v>
      </c>
      <c r="J82" s="9" t="str">
        <v>This indicator is the ratio of recirculated economic value to total product value, i.e., the material cost of recycled materials to all materials consumed.</v>
      </c>
      <c r="K82" s="9" t="str">
        <v>Quantitative</v>
      </c>
      <c r="L82" s="9" t="str">
        <v>%</v>
      </c>
      <c r="M82" s="9" t="str">
        <v>-</v>
      </c>
      <c r="N82" s="9">
        <v>1</v>
      </c>
      <c r="O82" s="9" t="str">
        <v>Syu et al. 2022</v>
      </c>
      <c r="P82" s="9" t="str">
        <v>Production line</v>
      </c>
      <c r="Q82" s="9" t="str">
        <v>22 Manufacture of rubber and plastic products</v>
      </c>
      <c r="R82" s="9" t="str">
        <v>Original forming</v>
      </c>
      <c r="S82" s="9" t="str">
        <v>not specified</v>
      </c>
    </row>
    <row r="83" spans="1:19" ht="51.5" customHeight="1" x14ac:dyDescent="0.35">
      <c r="A83" s="9" t="str">
        <v>12-001</v>
      </c>
      <c r="B83" s="9" t="str">
        <v>Input</v>
      </c>
      <c r="C83" s="9" t="str">
        <v>Water</v>
      </c>
      <c r="D83" s="9" t="str">
        <v>Input - Water</v>
      </c>
      <c r="E83" s="9">
        <v>0</v>
      </c>
      <c r="F83" s="9" t="str">
        <v>x</v>
      </c>
      <c r="G83" s="9" t="str">
        <v>Water &amp; Marine Resources</v>
      </c>
      <c r="H83" s="9" t="str">
        <v>Environmental - Water &amp; Marine Resources</v>
      </c>
      <c r="I83" s="12" t="str">
        <v>Water usage</v>
      </c>
      <c r="J83" s="9" t="str">
        <v>This indicator measures the absolute volume of all water used.</v>
      </c>
      <c r="K83" s="9" t="str">
        <v>Quantitative</v>
      </c>
      <c r="L83" s="9" t="str">
        <v>L</v>
      </c>
      <c r="M83" s="9" t="str">
        <v>-</v>
      </c>
      <c r="N83" s="9">
        <v>33</v>
      </c>
      <c r="O83" s="9" t="str">
        <v>Amrina &amp; Vilsi 2015; Amrina &amp; Yusof 2011; Barni et al. 2022; Bhanot et al. 2016a; Bhanot et al. 2016b; Butnariu &amp; Avasilcai 2015; Cagno et al. 2019; Dočekalová &amp; Kocmanová 2016; Eastwood &amp; Haapala 2015; Fan et al. 2010; Favi et al. 2017; Feil et al. 2019; Gani et al. 2021; Garza-Reyes et al. 2018; Hartini et al. 2020; Helleno et al. 2017; Herva et al. 2008; Huang &amp; Badurdeen 2018; Jiang et al. 2018; Jiang et al. 2019; Kravchenko et al. 2019; Lee et al. 2014; Li et al. 2012; Mengistu &amp; Panizzolo 2023a; Park &amp; Kremer 2017; Pinto et al. 2020; Pusporini &amp; Vanany 2019; Rahdari &amp; Anvary Rostamy 2015; Singh et al. 2014; Soltani et al. 2019; Swarnakar et al. 2020; Vinodh et al. 2016; EMAS</v>
      </c>
      <c r="P83" s="9" t="str">
        <v>Company; Factory; Production line; Process</v>
      </c>
      <c r="Q83" s="9" t="str">
        <v>13 Manufacture of textiles; 14 Manufacture of wearing apparel; 22 Manufacture of rubber and plastic products; 23 Manufacture of other non-metallic mineral products; 24 Manufacture of basic metals; 25 Manufacture of fabricated metal products, except machinery and equipment; 26 Manufacture of computer, electronic and optical products; 27 Manufacture of electrical equipment; 28 Manufacture of machinery and equipment n.e.c.; 29 Manufacture of motor vehicles, trailers and semi-trailers; 30 Manufacture of other transport equipment; 31 Manufacture of furniture; not specified</v>
      </c>
      <c r="R83" s="9" t="str">
        <v>Original forming; Transforming; Separating; Joining; Coating and finishing; Change of material properties; not specified</v>
      </c>
      <c r="S83" s="9" t="str">
        <v>Micro; Small; Medium; Large; not specified</v>
      </c>
    </row>
    <row r="84" spans="1:19" ht="51.5" customHeight="1" x14ac:dyDescent="0.35">
      <c r="A84" s="9" t="str">
        <v>12-002</v>
      </c>
      <c r="B84" s="9" t="str">
        <v>Input</v>
      </c>
      <c r="C84" s="9" t="str">
        <v>Water</v>
      </c>
      <c r="D84" s="9" t="str">
        <v>Input - Water</v>
      </c>
      <c r="E84" s="9">
        <v>0</v>
      </c>
      <c r="F84" s="9" t="str">
        <v>x</v>
      </c>
      <c r="G84" s="9" t="str">
        <v>Water &amp; Marine Resources</v>
      </c>
      <c r="H84" s="9" t="str">
        <v>Environmental - Water &amp; Marine Resources</v>
      </c>
      <c r="I84" s="12" t="str">
        <v>Water intensity</v>
      </c>
      <c r="J84" s="9" t="str">
        <v>This indicator measures the ratio of absolute volume of all water used to a normalization factor (NF).  The NF can, e.g., be the number of units produced.</v>
      </c>
      <c r="K84" s="9" t="str">
        <v>Quantitative</v>
      </c>
      <c r="L84" s="9" t="str">
        <v>L/NF</v>
      </c>
      <c r="M84" s="9" t="str">
        <v>-</v>
      </c>
      <c r="N84" s="9">
        <v>17</v>
      </c>
      <c r="O84" s="9" t="str">
        <v>Akbar &amp; Irohara 2018; Barni et al. 2022; Beekaroo et al. 2019; Brown et al. 2014; Faulkner &amp; Badurdeen 2014; Huang &amp; Badurdeen 2017; Huang &amp; Badurdeen 2018; Kaldas et al. 2021; Kocmanová et al. 2015; Kravchenko et al. 2019; Linke et al. 2013; Long et al. 2016; Rao et al. 2006; Singh et al. 2007a; Tan et al. 2015; OECD; ISO14031</v>
      </c>
      <c r="P84" s="9" t="str">
        <v>Company; Factory; Production line; Work cell; Process</v>
      </c>
      <c r="Q84" s="9" t="str">
        <v>13 Manufacture of textiles; 22 Manufacture of rubber and plastic products; 24 Manufacture of basic metals; 25 Manufacture of fabricated metal products, except machinery and equipment; 26 Manufacture of computer, electronic and optical products; 27 Manufacture of electrical equipment; 28 Manufacture of machinery and equipment n.e.c.; 29 Manufacture of motor vehicles, trailers and semi-trailers; 31 Manufacture of furniture; 32 Other manufacturing; not specified</v>
      </c>
      <c r="R84" s="9" t="str">
        <v>Original forming; Separating; Joining; Coating and finishing; Change of material properties; not specified</v>
      </c>
      <c r="S84" s="9" t="str">
        <v>Micro; Small; Medium; Large; not specified</v>
      </c>
    </row>
    <row r="85" spans="1:19" ht="51.5" customHeight="1" x14ac:dyDescent="0.35">
      <c r="A85" s="9" t="str">
        <v>12-003</v>
      </c>
      <c r="B85" s="9" t="str">
        <v>Input</v>
      </c>
      <c r="C85" s="9" t="str">
        <v>Water</v>
      </c>
      <c r="D85" s="9" t="str">
        <v>Input - Water</v>
      </c>
      <c r="E85" s="9">
        <v>0</v>
      </c>
      <c r="F85" s="9" t="str">
        <v>x</v>
      </c>
      <c r="G85" s="9" t="str">
        <v>Water &amp; Marine Resources</v>
      </c>
      <c r="H85" s="9" t="str">
        <v>Environmental - Water &amp; Marine Resources</v>
      </c>
      <c r="I85" s="12" t="str">
        <v>Water usage for production</v>
      </c>
      <c r="J85" s="9" t="str">
        <v>This indicator measures the absolute volume of all water used exclusively for manufacturing.</v>
      </c>
      <c r="K85" s="9" t="str">
        <v>Quantitative</v>
      </c>
      <c r="L85" s="9" t="str">
        <v>L</v>
      </c>
      <c r="M85" s="9" t="str">
        <v>-</v>
      </c>
      <c r="N85" s="9">
        <v>2</v>
      </c>
      <c r="O85" s="9" t="str">
        <v>Huang &amp; Badurdeen 2018; Salvado et al. 2015</v>
      </c>
      <c r="P85" s="9" t="str">
        <v>Company; Factory; Production line</v>
      </c>
      <c r="Q85" s="9" t="str">
        <v>26 Manufacture of computer, electronic and optical products; 29 Manufacture of motor vehicles, trailers and semi-trailers</v>
      </c>
      <c r="R85" s="9" t="str">
        <v>Original forming; Joining; Coating and finishing; Change of material properties; not specified</v>
      </c>
      <c r="S85" s="9" t="str">
        <v>Large; not specified</v>
      </c>
    </row>
    <row r="86" spans="1:19" ht="51.5" customHeight="1" x14ac:dyDescent="0.35">
      <c r="A86" s="9" t="str">
        <v>12-004</v>
      </c>
      <c r="B86" s="9" t="str">
        <v>Input</v>
      </c>
      <c r="C86" s="9" t="str">
        <v>Water</v>
      </c>
      <c r="D86" s="9" t="str">
        <v>Input - Water</v>
      </c>
      <c r="E86" s="9">
        <v>0</v>
      </c>
      <c r="F86" s="9" t="str">
        <v>x</v>
      </c>
      <c r="G86" s="9" t="str">
        <v>Water &amp; Marine Resources</v>
      </c>
      <c r="H86" s="9" t="str">
        <v>Environmental - Water &amp; Marine Resources</v>
      </c>
      <c r="I86" s="12" t="str">
        <v>Water withdrawal</v>
      </c>
      <c r="J86" s="9" t="str">
        <v>This indicator measures the total water withdrawal from all areas. It can be measured as a total and as a breakdown by sources.</v>
      </c>
      <c r="K86" s="9" t="str">
        <v>Quantitative</v>
      </c>
      <c r="L86" s="9" t="str">
        <v>L</v>
      </c>
      <c r="M86" s="9" t="str">
        <v>303-3</v>
      </c>
      <c r="N86" s="9">
        <v>2</v>
      </c>
      <c r="O86" s="9" t="str">
        <v>Gani et al. 2021; Zarte et al. 2019</v>
      </c>
      <c r="P86" s="9" t="str">
        <v>Company; Factory</v>
      </c>
      <c r="Q86" s="9" t="str">
        <v>not specified</v>
      </c>
      <c r="R86" s="9" t="str">
        <v>not specified</v>
      </c>
      <c r="S86" s="9" t="str">
        <v>not specified</v>
      </c>
    </row>
    <row r="87" spans="1:19" ht="51.5" customHeight="1" x14ac:dyDescent="0.35">
      <c r="A87" s="9" t="str">
        <v>12-005</v>
      </c>
      <c r="B87" s="9" t="str">
        <v>Input</v>
      </c>
      <c r="C87" s="9" t="str">
        <v>Water</v>
      </c>
      <c r="D87" s="9" t="str">
        <v>Input - Water</v>
      </c>
      <c r="E87" s="9">
        <v>0</v>
      </c>
      <c r="F87" s="9" t="str">
        <v>x</v>
      </c>
      <c r="G87" s="9" t="str">
        <v>Water &amp; Marine Resources</v>
      </c>
      <c r="H87" s="9" t="str">
        <v>Environmental - Water &amp; Marine Resources</v>
      </c>
      <c r="I87" s="12" t="str">
        <v>Volume Fraction of Water Type</v>
      </c>
      <c r="J87" s="9" t="str">
        <v>This indicator measures the consumption volume of water per type to the total consumption volume. In this context, type of water means the origin (source) of the used water, if it is superficial, underground, reused…</v>
      </c>
      <c r="K87" s="9" t="str">
        <v>Quantitative</v>
      </c>
      <c r="L87" s="9" t="str">
        <v>%</v>
      </c>
      <c r="M87" s="9" t="str">
        <v>-</v>
      </c>
      <c r="N87" s="9">
        <v>2</v>
      </c>
      <c r="O87" s="9" t="str">
        <v>Gani et al. 2021; Kravchenko et al. 2019</v>
      </c>
      <c r="P87" s="9" t="str">
        <v>Company</v>
      </c>
      <c r="Q87" s="9" t="str">
        <v>13 Manufacture of textiles; 28 Manufacture of machinery and equipment n.e.c.; 31 Manufacture of furniture; not specified</v>
      </c>
      <c r="R87" s="9" t="str">
        <v>not specified</v>
      </c>
      <c r="S87" s="9" t="str">
        <v>Micro; Large; not specified</v>
      </c>
    </row>
    <row r="88" spans="1:19" ht="51.5" customHeight="1" x14ac:dyDescent="0.35">
      <c r="A88" s="9" t="str">
        <v>12-006</v>
      </c>
      <c r="B88" s="9" t="str">
        <v>Input</v>
      </c>
      <c r="C88" s="9" t="str">
        <v>Water</v>
      </c>
      <c r="D88" s="9" t="str">
        <v>Input - Water</v>
      </c>
      <c r="E88" s="9">
        <v>0</v>
      </c>
      <c r="F88" s="9" t="str">
        <v>x</v>
      </c>
      <c r="G88" s="9" t="str">
        <v>Water &amp; Marine Resources</v>
      </c>
      <c r="H88" s="9" t="str">
        <v>Environmental - Water &amp; Marine Resources</v>
      </c>
      <c r="I88" s="12" t="str">
        <v>Net water footprint</v>
      </c>
      <c r="J88" s="9" t="str">
        <v>This indicator measures the ratio of water withdrawn minus water recycled/ reused to the total amount of water used. (water withdrawn - (water recycled + water reused))/water used</v>
      </c>
      <c r="K88" s="9" t="str">
        <v>Quantitative</v>
      </c>
      <c r="L88" s="9" t="str">
        <v>%</v>
      </c>
      <c r="M88" s="9" t="str">
        <v>-</v>
      </c>
      <c r="N88" s="9">
        <v>1</v>
      </c>
      <c r="O88" s="9" t="str">
        <v>Swarnakar et al. 2022</v>
      </c>
      <c r="P88" s="9" t="str">
        <v>Process</v>
      </c>
      <c r="Q88" s="9" t="str">
        <v>not specified</v>
      </c>
      <c r="R88" s="9" t="str">
        <v>not specified</v>
      </c>
      <c r="S88" s="9" t="str">
        <v>not specified</v>
      </c>
    </row>
    <row r="89" spans="1:19" ht="51.5" customHeight="1" x14ac:dyDescent="0.35">
      <c r="A89" s="9" t="str">
        <v>12-007</v>
      </c>
      <c r="B89" s="9" t="str">
        <v>Input</v>
      </c>
      <c r="C89" s="9" t="str">
        <v>Water</v>
      </c>
      <c r="D89" s="9" t="str">
        <v>Input - Water</v>
      </c>
      <c r="E89" s="9">
        <v>0</v>
      </c>
      <c r="F89" s="9" t="str">
        <v>x</v>
      </c>
      <c r="G89" s="9" t="str">
        <v>Water &amp; Marine Resources</v>
      </c>
      <c r="H89" s="9" t="str">
        <v>Environmental - Water &amp; Marine Resources</v>
      </c>
      <c r="I89" s="12" t="str">
        <v>Freshwater usage</v>
      </c>
      <c r="J89" s="9" t="str">
        <v>This indicator measures the absolute volume of all freshwater used.</v>
      </c>
      <c r="K89" s="9" t="str">
        <v>Quantitative</v>
      </c>
      <c r="L89" s="9" t="str">
        <v>L</v>
      </c>
      <c r="M89" s="9" t="str">
        <v>-</v>
      </c>
      <c r="N89" s="9">
        <v>3</v>
      </c>
      <c r="O89" s="9" t="str">
        <v>Cagno et al. 2019; Gani et al. 2021; Madanchi et al. 2019</v>
      </c>
      <c r="P89" s="9" t="str">
        <v>Company; Factory</v>
      </c>
      <c r="Q89" s="9" t="str">
        <v>13 Manufacture of textiles; 24 Manufacture of basic metals; 28 Manufacture of machinery and equipment n.e.c.; 29 Manufacture of motor vehicles, trailers and semi-trailers; 31 Manufacture of furniture; not specified</v>
      </c>
      <c r="R89" s="9" t="str">
        <v>not specified</v>
      </c>
      <c r="S89" s="9" t="str">
        <v>Small; Medium; Large; not specified</v>
      </c>
    </row>
    <row r="90" spans="1:19" ht="51.5" customHeight="1" x14ac:dyDescent="0.35">
      <c r="A90" s="9" t="str">
        <v>12-008</v>
      </c>
      <c r="B90" s="9" t="str">
        <v>Input</v>
      </c>
      <c r="C90" s="9" t="str">
        <v>Water</v>
      </c>
      <c r="D90" s="9" t="str">
        <v>Input - Water</v>
      </c>
      <c r="E90" s="9">
        <v>0</v>
      </c>
      <c r="F90" s="9" t="str">
        <v>x</v>
      </c>
      <c r="G90" s="9" t="str">
        <v>Water &amp; Marine Resources</v>
      </c>
      <c r="H90" s="9" t="str">
        <v>Environmental - Water &amp; Marine Resources</v>
      </c>
      <c r="I90" s="12" t="str">
        <v>Freshwater usage per unit of production</v>
      </c>
      <c r="J90" s="9" t="str">
        <v>This indicator measures the absolute volume of all freshwater used to the production output.</v>
      </c>
      <c r="K90" s="9" t="str">
        <v>Quantitative</v>
      </c>
      <c r="L90" s="9" t="str">
        <v>L/UOP</v>
      </c>
      <c r="M90" s="9" t="str">
        <v>-</v>
      </c>
      <c r="N90" s="9">
        <v>2</v>
      </c>
      <c r="O90" s="9" t="str">
        <v>Kravchenko et al. 2019; Singh et al. 2007b</v>
      </c>
      <c r="P90" s="9" t="str">
        <v>Company; Process</v>
      </c>
      <c r="Q90" s="9" t="str">
        <v>13 Manufacture of textiles; 28 Manufacture of machinery and equipment n.e.c.; 29 Manufacture of motor vehicles, trailers and semi-trailers; 31 Manufacture of furniture</v>
      </c>
      <c r="R90" s="9" t="str">
        <v>Original forming; Separating; Change of material properties; not specified</v>
      </c>
      <c r="S90" s="9" t="str">
        <v>Micro; Large; not specified</v>
      </c>
    </row>
    <row r="91" spans="1:19" ht="51.5" customHeight="1" x14ac:dyDescent="0.35">
      <c r="A91" s="9" t="str">
        <v>12-009</v>
      </c>
      <c r="B91" s="9" t="str">
        <v>Input</v>
      </c>
      <c r="C91" s="9" t="str">
        <v>Water</v>
      </c>
      <c r="D91" s="9" t="str">
        <v>Input - Water</v>
      </c>
      <c r="E91" s="9">
        <v>0</v>
      </c>
      <c r="F91" s="9" t="str">
        <v>x</v>
      </c>
      <c r="G91" s="9" t="str">
        <v>Water &amp; Marine Resources</v>
      </c>
      <c r="H91" s="9" t="str">
        <v>Environmental - Water &amp; Marine Resources</v>
      </c>
      <c r="I91" s="12" t="str">
        <v>Reused/ recycled water usage</v>
      </c>
      <c r="J91" s="9" t="str">
        <v>This indicator measures the absolute volume of water reused or recycled in the production process.</v>
      </c>
      <c r="K91" s="9" t="str">
        <v>Quantitative</v>
      </c>
      <c r="L91" s="9" t="str">
        <v>L</v>
      </c>
      <c r="M91" s="9" t="str">
        <v>-</v>
      </c>
      <c r="N91" s="9">
        <v>10</v>
      </c>
      <c r="O91" s="9" t="str">
        <v>Akbar &amp; Irohara 2018; Cagno et al. 2019; Cagno et al. 2023; Gani et al. 2021; Garza-Reyes et al. 2018; Huang &amp; Badurdeen 2018; Mengistu &amp; Panizzolo 2023a; Tan et al. 2015; Zarte et al. 2019; ISO14031</v>
      </c>
      <c r="P91" s="9" t="str">
        <v>Company; Factory; Production line; Work cell; Process</v>
      </c>
      <c r="Q91" s="9" t="str">
        <v>13 Manufacture of textiles; 23 Manufacture of other non-metallic mineral products; 24 Manufacture of basic metals; 26 Manufacture of computer, electronic and optical products; 27 Manufacture of electrical equipment; 28 Manufacture of machinery and equipment n.e.c.; 29 Manufacture of motor vehicles, trailers and semi-trailers; 31 Manufacture of furniture; not specified</v>
      </c>
      <c r="R91" s="9" t="str">
        <v>Original forming; Transforming; Joining; Coating and finishing; Change of material properties; not specified</v>
      </c>
      <c r="S91" s="9" t="str">
        <v>Small; Medium; Large; not specified</v>
      </c>
    </row>
    <row r="92" spans="1:19" ht="51.5" customHeight="1" x14ac:dyDescent="0.35">
      <c r="A92" s="9" t="str">
        <v>12-010</v>
      </c>
      <c r="B92" s="9" t="str">
        <v>Input</v>
      </c>
      <c r="C92" s="9" t="str">
        <v>Water</v>
      </c>
      <c r="D92" s="9" t="str">
        <v>Input - Water</v>
      </c>
      <c r="E92" s="9">
        <v>0</v>
      </c>
      <c r="F92" s="9" t="str">
        <v>x</v>
      </c>
      <c r="G92" s="9" t="str">
        <v>Water &amp; Marine Resources</v>
      </c>
      <c r="H92" s="9" t="str">
        <v>Environmental - Water &amp; Marine Resources</v>
      </c>
      <c r="I92" s="12" t="str">
        <v>Reused/ recycled water usage percentual</v>
      </c>
      <c r="J92" s="9" t="str">
        <v>This indicator measures the absolute volume of water reused or recycled in the (production) process to the absolute volume of water used.</v>
      </c>
      <c r="K92" s="9" t="str">
        <v>Quantitative</v>
      </c>
      <c r="L92" s="9" t="str">
        <v>%</v>
      </c>
      <c r="M92" s="9" t="str">
        <v>-</v>
      </c>
      <c r="N92" s="9">
        <v>7</v>
      </c>
      <c r="O92" s="9" t="str">
        <v>Fan et al. 2010; Feil et al. 2017; Huang &amp; Badurdeen 2017; Huang &amp; Badurdeen 2018; Kaldas et al. 2021; Kravchenko et al. 2019; Li et al. 2012</v>
      </c>
      <c r="P92" s="9" t="str">
        <v>Company; Factory; Production line</v>
      </c>
      <c r="Q92" s="9" t="str">
        <v>13 Manufacture of textiles; 26 Manufacture of computer, electronic and optical products; 28 Manufacture of machinery and equipment n.e.c.; 31 Manufacture of furniture; not specified</v>
      </c>
      <c r="R92" s="9" t="str">
        <v>Original forming; Joining; Coating and finishing; Change of material properties; not specified</v>
      </c>
      <c r="S92" s="9" t="str">
        <v>Micro; Small; Medium; Large; not specified</v>
      </c>
    </row>
    <row r="93" spans="1:19" ht="51.5" customHeight="1" x14ac:dyDescent="0.35">
      <c r="A93" s="9" t="str">
        <v>12-011</v>
      </c>
      <c r="B93" s="9" t="str">
        <v>Input</v>
      </c>
      <c r="C93" s="9" t="str">
        <v>Water</v>
      </c>
      <c r="D93" s="9" t="str">
        <v>Input - Water</v>
      </c>
      <c r="E93" s="9">
        <v>0</v>
      </c>
      <c r="F93" s="9" t="str">
        <v>x</v>
      </c>
      <c r="G93" s="9" t="str">
        <v>Water &amp; Marine Resources</v>
      </c>
      <c r="H93" s="9" t="str">
        <v>Environmental - Water &amp; Marine Resources</v>
      </c>
      <c r="I93" s="12" t="str">
        <v>Renewable water usage</v>
      </c>
      <c r="J93" s="9" t="str">
        <v>This indicator measures the absolute volume of renewable water used.</v>
      </c>
      <c r="K93" s="9" t="str">
        <v>Quantitative</v>
      </c>
      <c r="L93" s="9" t="str">
        <v>L</v>
      </c>
      <c r="M93" s="9" t="str">
        <v>-</v>
      </c>
      <c r="N93" s="9">
        <v>1</v>
      </c>
      <c r="O93" s="9" t="str">
        <v>Lee et al. 2014</v>
      </c>
      <c r="P93" s="9" t="str">
        <v>Factory; Production line</v>
      </c>
      <c r="Q93" s="9" t="str">
        <v>29 Manufacture of motor vehicles, trailers and semi-trailers</v>
      </c>
      <c r="R93" s="9" t="str">
        <v>Transforming; Joining</v>
      </c>
      <c r="S93" s="9" t="str">
        <v>not specified</v>
      </c>
    </row>
    <row r="94" spans="1:19" ht="51.5" customHeight="1" x14ac:dyDescent="0.35">
      <c r="A94" s="9" t="str">
        <v>12-012</v>
      </c>
      <c r="B94" s="9" t="str">
        <v>Input</v>
      </c>
      <c r="C94" s="9" t="str">
        <v>Water</v>
      </c>
      <c r="D94" s="9" t="str">
        <v>Input - Water</v>
      </c>
      <c r="E94" s="9" t="str">
        <v>x</v>
      </c>
      <c r="F94" s="9">
        <v>0</v>
      </c>
      <c r="G94" s="9" t="str">
        <v>Cost</v>
      </c>
      <c r="H94" s="9" t="str">
        <v>Economic - Cost</v>
      </c>
      <c r="I94" s="12" t="str">
        <v>Water cost</v>
      </c>
      <c r="J94" s="9" t="str">
        <v>This indicator measures the costs associated with purchasing water.</v>
      </c>
      <c r="K94" s="9" t="str">
        <v>Quantitative</v>
      </c>
      <c r="L94" s="9" t="str">
        <v>€</v>
      </c>
      <c r="M94" s="9" t="str">
        <v>-</v>
      </c>
      <c r="N94" s="9">
        <v>3</v>
      </c>
      <c r="O94" s="9" t="str">
        <v>Huang &amp; Badurdeen 2017; Huang &amp; Badurdeen 2018; Kravchenko et al. 2019</v>
      </c>
      <c r="P94" s="9" t="str">
        <v>Company; Factory; Production line</v>
      </c>
      <c r="Q94" s="9" t="str">
        <v>13 Manufacture of textiles; 26 Manufacture of computer, electronic and optical products; 28 Manufacture of machinery and equipment n.e.c.; 31 Manufacture of furniture</v>
      </c>
      <c r="R94" s="9" t="str">
        <v>Original forming; Joining; Coating and finishing; Change of material properties; not specified</v>
      </c>
      <c r="S94" s="9" t="str">
        <v>Micro; Large; not specified</v>
      </c>
    </row>
    <row r="95" spans="1:19" ht="51.5" customHeight="1" x14ac:dyDescent="0.35">
      <c r="A95" s="9" t="str">
        <v>12-013</v>
      </c>
      <c r="B95" s="9" t="str">
        <v>Input</v>
      </c>
      <c r="C95" s="9" t="str">
        <v>Water</v>
      </c>
      <c r="D95" s="9" t="str">
        <v>Input - Water</v>
      </c>
      <c r="E95" s="9">
        <v>0</v>
      </c>
      <c r="F95" s="9" t="str">
        <v>x</v>
      </c>
      <c r="G95" s="9" t="str">
        <v>Water &amp; Marine Resources</v>
      </c>
      <c r="H95" s="9" t="str">
        <v>Environmental - Water &amp; Marine Resources</v>
      </c>
      <c r="I95" s="12" t="str">
        <v xml:space="preserve">Water cost per unit of product </v>
      </c>
      <c r="J95" s="9" t="str">
        <v>This indicator measures the costs associated with purchasing water per production output.</v>
      </c>
      <c r="K95" s="9" t="str">
        <v>Quantitative</v>
      </c>
      <c r="L95" s="9" t="str">
        <v>€/UOP</v>
      </c>
      <c r="M95" s="9" t="str">
        <v>-</v>
      </c>
      <c r="N95" s="9">
        <v>1</v>
      </c>
      <c r="O95" s="9" t="str">
        <v>Kravchenko et al. 2019</v>
      </c>
      <c r="P95" s="9" t="str">
        <v>Company</v>
      </c>
      <c r="Q95" s="9" t="str">
        <v>13 Manufacture of textiles; 28 Manufacture of machinery and equipment n.e.c.; 31 Manufacture of furniture</v>
      </c>
      <c r="R95" s="9" t="str">
        <v>not specified</v>
      </c>
      <c r="S95" s="9" t="str">
        <v>Micro; Large</v>
      </c>
    </row>
    <row r="96" spans="1:19" ht="51.5" customHeight="1" x14ac:dyDescent="0.35">
      <c r="A96" s="9" t="str">
        <v>12-014</v>
      </c>
      <c r="B96" s="9" t="str">
        <v>Input</v>
      </c>
      <c r="C96" s="9" t="str">
        <v>Water</v>
      </c>
      <c r="D96" s="9" t="str">
        <v>Input - Water</v>
      </c>
      <c r="E96" s="9">
        <v>0</v>
      </c>
      <c r="F96" s="9" t="str">
        <v>x</v>
      </c>
      <c r="G96" s="9" t="str">
        <v>Water &amp; Marine Resources</v>
      </c>
      <c r="H96" s="9" t="str">
        <v>Environmental - Water &amp; Marine Resources</v>
      </c>
      <c r="I96" s="12" t="str">
        <v>Water cost fraction</v>
      </c>
      <c r="J96" s="9" t="str">
        <v>This indicator measures the cost of water to the total production costs.</v>
      </c>
      <c r="K96" s="9" t="str">
        <v>Quantitative</v>
      </c>
      <c r="L96" s="9" t="str">
        <v>%</v>
      </c>
      <c r="M96" s="9" t="str">
        <v>-</v>
      </c>
      <c r="N96" s="9">
        <v>1</v>
      </c>
      <c r="O96" s="9" t="str">
        <v>Kravchenko et al. 2019</v>
      </c>
      <c r="P96" s="9" t="str">
        <v>Company</v>
      </c>
      <c r="Q96" s="9" t="str">
        <v>13 Manufacture of textiles; 28 Manufacture of machinery and equipment n.e.c.; 31 Manufacture of furniture</v>
      </c>
      <c r="R96" s="9" t="str">
        <v>not specified</v>
      </c>
      <c r="S96" s="9" t="str">
        <v>Micro; Large</v>
      </c>
    </row>
    <row r="97" spans="1:19" ht="51.5" customHeight="1" x14ac:dyDescent="0.35">
      <c r="A97" s="9" t="str">
        <v>13-001</v>
      </c>
      <c r="B97" s="9" t="str">
        <v>Input</v>
      </c>
      <c r="C97" s="9" t="str">
        <v>Energy</v>
      </c>
      <c r="D97" s="9" t="str">
        <v>Input - Energy</v>
      </c>
      <c r="E97" s="9">
        <v>0</v>
      </c>
      <c r="F97" s="9" t="str">
        <v>x</v>
      </c>
      <c r="G97" s="9" t="str">
        <v>Climate Change</v>
      </c>
      <c r="H97" s="9" t="str">
        <v>Environmental - Climate Change</v>
      </c>
      <c r="I97" s="12" t="str">
        <v>Energy consumption</v>
      </c>
      <c r="J97" s="9" t="str">
        <v>This indicator measures the total energy consumption.</v>
      </c>
      <c r="K97" s="9" t="str">
        <v>Quantitative</v>
      </c>
      <c r="L97" s="9" t="str">
        <v>J</v>
      </c>
      <c r="M97" s="9" t="str">
        <v>302-1</v>
      </c>
      <c r="N97" s="9">
        <v>31</v>
      </c>
      <c r="O97" s="9" t="str">
        <v>Amrina &amp; Vilsi 2015; Amrina &amp; Yusof 2011; Azapagic &amp; Perdan 2000; Barni et al. 2022; Bhakar et al. 2018; Bhanot et al. 2016a; Bhanot et al. 2016b; Dočekalová &amp; Kocmanová 2016; Eastwood &amp; Haapala 2015; Fan et al. 2010; Fijał 2007; Gani et al. 2021; Garza-Reyes et al. 2018; Huang &amp; Badurdeen 2018; Jiang et al. 2018; Lee et al. 2014; Li et al. 2012; Madanchi et al. 2019; Mengistu &amp; Panizzolo 2023a; Mengistu &amp; Panizzolo 2023b; Paju et al. 2011; Pinto et al. 2020; Pusporini &amp; Vanany 2019; Rao 2008; Saad et al. 2021; Salvado et al. 2015; Taddese et al. 2020; Winroth et al. 2016; Zarte et al. 2019; EMAS; ISO14031</v>
      </c>
      <c r="P97" s="9" t="str">
        <v>Company; Factory; Production line; Process</v>
      </c>
      <c r="Q97" s="9" t="str">
        <v>15 Manufacture of leather and related products; 23 Manufacture of other non-metallic mineral products; 25 Manufacture of fabricated metal products, except machinery and equipment; 26 Manufacture of computer, electronic and optical products; 27 Manufacture of electrical equipment; 28 Manufacture of machinery and equipment n.e.c.; 29 Manufacture of motor vehicles, trailers and semi-trailers; 30 Manufacture of other transport equipment; not specified</v>
      </c>
      <c r="R97" s="9" t="str">
        <v>Original forming; Transforming; Separating; Joining; Coating and finishing; Change of material properties; not specified</v>
      </c>
      <c r="S97" s="9" t="str">
        <v>Small; Medium; Large; not specified</v>
      </c>
    </row>
    <row r="98" spans="1:19" ht="51.5" customHeight="1" x14ac:dyDescent="0.35">
      <c r="A98" s="9" t="str">
        <v>13-002</v>
      </c>
      <c r="B98" s="9" t="str">
        <v>Input</v>
      </c>
      <c r="C98" s="9" t="str">
        <v>Energy</v>
      </c>
      <c r="D98" s="9" t="str">
        <v>Input - Energy</v>
      </c>
      <c r="E98" s="9">
        <v>0</v>
      </c>
      <c r="F98" s="9" t="str">
        <v>x</v>
      </c>
      <c r="G98" s="9" t="str">
        <v>Climate Change</v>
      </c>
      <c r="H98" s="9" t="str">
        <v>Environmental - Climate Change</v>
      </c>
      <c r="I98" s="12" t="str">
        <v>Electricity consumption</v>
      </c>
      <c r="J98" s="9" t="str">
        <v>This indicator measures the total electricity consumption.</v>
      </c>
      <c r="K98" s="9" t="str">
        <v>Quantitative</v>
      </c>
      <c r="L98" s="9" t="str">
        <v>kWh</v>
      </c>
      <c r="M98" s="9" t="str">
        <v>302-1</v>
      </c>
      <c r="N98" s="9">
        <v>17</v>
      </c>
      <c r="O98" s="9" t="str">
        <v>Akbar &amp; Irohara 2018; Avram et al. 2011; Butnariu &amp; Avasilcai 2015; Favi et al. 2017; Feil et al. 2019; Hatim et al. 2020; Helleno et al. 2017; Jiang et al. 2012; Jiang et al. 2019; Kravchenko et al. 2019; Lucato et al. 2018; Mengistu &amp; Panizzolo 2023a; Soltani et al. 2019; Swarnakar et al. 2020; Swarnakar et al. 2021; Swarnakar et al. 2022; Vinodh et al. 2016</v>
      </c>
      <c r="P98" s="9" t="str">
        <v>Company; Factory; Production line; Work cell; Process</v>
      </c>
      <c r="Q98" s="9" t="str">
        <v>13 Manufacture of textiles; 22 Manufacture of rubber and plastic products; 25 Manufacture of fabricated metal products, except machinery and equipment; 27 Manufacture of electrical equipment; 28 Manufacture of machinery and equipment n.e.c.; 29 Manufacture of motor vehicles, trailers and semi-trailers; 31 Manufacture of furniture; not specified</v>
      </c>
      <c r="R98" s="9" t="str">
        <v>Original forming; Transforming; Separating; Joining; Coating and finishing; Change of material properties; not specified</v>
      </c>
      <c r="S98" s="9" t="str">
        <v>Micro; Small; Medium; Large; not specified</v>
      </c>
    </row>
    <row r="99" spans="1:19" ht="51.5" customHeight="1" x14ac:dyDescent="0.35">
      <c r="A99" s="9" t="str">
        <v>13-003</v>
      </c>
      <c r="B99" s="9" t="str">
        <v>Input</v>
      </c>
      <c r="C99" s="9" t="str">
        <v>Energy</v>
      </c>
      <c r="D99" s="9" t="str">
        <v>Input - Energy</v>
      </c>
      <c r="E99" s="9">
        <v>0</v>
      </c>
      <c r="F99" s="9" t="str">
        <v>x</v>
      </c>
      <c r="G99" s="9" t="str">
        <v>Climate Change</v>
      </c>
      <c r="H99" s="9" t="str">
        <v>Environmental - Climate Change</v>
      </c>
      <c r="I99" s="12" t="str">
        <v>Fuel consumption</v>
      </c>
      <c r="J99" s="9" t="str">
        <v>This indicator measures the total fuel consumption.</v>
      </c>
      <c r="K99" s="9" t="str">
        <v>Quantitative</v>
      </c>
      <c r="L99" s="9" t="str">
        <v>J</v>
      </c>
      <c r="M99" s="9" t="str">
        <v>-</v>
      </c>
      <c r="N99" s="9">
        <v>5</v>
      </c>
      <c r="O99" s="9" t="str">
        <v>Amrina &amp; Vilsi 2015; Amrina &amp; Yusof 2011; Cagno et al. 2019; Dočekalová &amp; Kocmanová 2016; Kravchenko et al. 2019</v>
      </c>
      <c r="P99" s="9" t="str">
        <v>Company; Factory</v>
      </c>
      <c r="Q99" s="9" t="str">
        <v>13 Manufacture of textiles; 23 Manufacture of other non-metallic mineral products; 24 Manufacture of basic metals; 27 Manufacture of electrical equipment; 28 Manufacture of machinery and equipment n.e.c.; 29 Manufacture of motor vehicles, trailers and semi-trailers; 31 Manufacture of furniture</v>
      </c>
      <c r="R99" s="9" t="str">
        <v>not specified</v>
      </c>
      <c r="S99" s="9" t="str">
        <v>Micro; Small; Medium; Large; not specified</v>
      </c>
    </row>
    <row r="100" spans="1:19" ht="51.5" customHeight="1" x14ac:dyDescent="0.35">
      <c r="A100" s="9" t="str">
        <v>13-004</v>
      </c>
      <c r="B100" s="9" t="str">
        <v>Input</v>
      </c>
      <c r="C100" s="9" t="str">
        <v>Energy</v>
      </c>
      <c r="D100" s="9" t="str">
        <v>Input - Energy</v>
      </c>
      <c r="E100" s="9">
        <v>0</v>
      </c>
      <c r="F100" s="9" t="str">
        <v>x</v>
      </c>
      <c r="G100" s="9" t="str">
        <v>Climate Change</v>
      </c>
      <c r="H100" s="9" t="str">
        <v>Environmental - Climate Change</v>
      </c>
      <c r="I100" s="12" t="str">
        <v>Primary energy consumption</v>
      </c>
      <c r="J100" s="9" t="str">
        <v xml:space="preserve">This indicator measures the amount of primary energy used. It can include a breakdown by type (including natural gas, diesel, LPG, petrol, and other fuels). </v>
      </c>
      <c r="K100" s="9" t="str">
        <v>Quantitative</v>
      </c>
      <c r="L100" s="9" t="str">
        <v>J</v>
      </c>
      <c r="M100" s="9" t="str">
        <v>-</v>
      </c>
      <c r="N100" s="9">
        <v>2</v>
      </c>
      <c r="O100" s="9" t="str">
        <v>Gani et al. 2021; Song &amp; Moon 2019</v>
      </c>
      <c r="P100" s="9" t="str">
        <v>Company; Production line</v>
      </c>
      <c r="Q100" s="9" t="str">
        <v>30 Manufacture of other transport equipment; not specified</v>
      </c>
      <c r="R100" s="9" t="str">
        <v>Joining; not specified</v>
      </c>
      <c r="S100" s="9" t="str">
        <v>not specified</v>
      </c>
    </row>
    <row r="101" spans="1:19" ht="51.5" customHeight="1" x14ac:dyDescent="0.35">
      <c r="A101" s="9" t="str">
        <v>13-005</v>
      </c>
      <c r="B101" s="9" t="str">
        <v>Input</v>
      </c>
      <c r="C101" s="9" t="str">
        <v>Energy</v>
      </c>
      <c r="D101" s="9" t="str">
        <v>Input - Energy</v>
      </c>
      <c r="E101" s="9">
        <v>0</v>
      </c>
      <c r="F101" s="9" t="str">
        <v>x</v>
      </c>
      <c r="G101" s="9" t="str">
        <v>Climate Change</v>
      </c>
      <c r="H101" s="9" t="str">
        <v>Environmental - Climate Change</v>
      </c>
      <c r="I101" s="12" t="str">
        <v>Energy consumption for production</v>
      </c>
      <c r="J101" s="9" t="str">
        <v>This indicator measures the total energy consumption for manufacturing exclusively.</v>
      </c>
      <c r="K101" s="9" t="str">
        <v>Quantitative</v>
      </c>
      <c r="L101" s="9" t="str">
        <v>J</v>
      </c>
      <c r="M101" s="9" t="str">
        <v>-</v>
      </c>
      <c r="N101" s="9">
        <v>6</v>
      </c>
      <c r="O101" s="9" t="str">
        <v>Cagno et al. 2019; Faulkner &amp; Badurdeen 2014; Huang &amp; Badurdeen 2018; Kravchenko et al. 2019; Park &amp; Kremer 2017; Tan et al. 2015</v>
      </c>
      <c r="P101" s="9" t="str">
        <v>Company; Factory; Production line; Process</v>
      </c>
      <c r="Q101" s="9" t="str">
        <v>13 Manufacture of textiles; 24 Manufacture of basic metals; 26 Manufacture of computer, electronic and optical products; 28 Manufacture of machinery and equipment n.e.c.; 31 Manufacture of furniture; not specified</v>
      </c>
      <c r="R101" s="9" t="str">
        <v>Original forming; Joining; Coating and finishing; Change of material properties; not specified</v>
      </c>
      <c r="S101" s="9" t="str">
        <v>Micro; Small; Medium; Large; not specified</v>
      </c>
    </row>
    <row r="102" spans="1:19" ht="51.5" customHeight="1" x14ac:dyDescent="0.35">
      <c r="A102" s="9" t="str">
        <v>13-006</v>
      </c>
      <c r="B102" s="9" t="str">
        <v>Input</v>
      </c>
      <c r="C102" s="9" t="str">
        <v>Energy</v>
      </c>
      <c r="D102" s="9" t="str">
        <v>Input - Energy</v>
      </c>
      <c r="E102" s="9">
        <v>0</v>
      </c>
      <c r="F102" s="9" t="str">
        <v>x</v>
      </c>
      <c r="G102" s="9" t="str">
        <v>Climate Change</v>
      </c>
      <c r="H102" s="9" t="str">
        <v>Environmental - Climate Change</v>
      </c>
      <c r="I102" s="12" t="str">
        <v>Energy consumption not for production</v>
      </c>
      <c r="J102" s="9" t="str">
        <v>This indicator measures the total energy consumption not used for manufacturing.</v>
      </c>
      <c r="K102" s="9" t="str">
        <v>Quantitative</v>
      </c>
      <c r="L102" s="9" t="str">
        <v>J</v>
      </c>
      <c r="M102" s="9" t="str">
        <v>-</v>
      </c>
      <c r="N102" s="9">
        <v>2</v>
      </c>
      <c r="O102" s="9" t="str">
        <v>Cagno et al. 2019; Huang &amp; Badurdeen 2018</v>
      </c>
      <c r="P102" s="9" t="str">
        <v>Company; Factory; Production line</v>
      </c>
      <c r="Q102" s="9" t="str">
        <v>13 Manufacture of textiles; 24 Manufacture of basic metals; 26 Manufacture of computer, electronic and optical products; 28 Manufacture of machinery and equipment n.e.c.; 31 Manufacture of furniture</v>
      </c>
      <c r="R102" s="9" t="str">
        <v>Original forming; Joining; Coating and finishing; Change of material properties; not specified</v>
      </c>
      <c r="S102" s="9" t="str">
        <v>Small; Medium; Large; not specified</v>
      </c>
    </row>
    <row r="103" spans="1:19" ht="51.5" customHeight="1" x14ac:dyDescent="0.35">
      <c r="A103" s="9" t="str">
        <v>13-007</v>
      </c>
      <c r="B103" s="9" t="str">
        <v>Input</v>
      </c>
      <c r="C103" s="9" t="str">
        <v>Energy</v>
      </c>
      <c r="D103" s="9" t="str">
        <v>Input - Energy</v>
      </c>
      <c r="E103" s="9">
        <v>0</v>
      </c>
      <c r="F103" s="9" t="str">
        <v>x</v>
      </c>
      <c r="G103" s="9" t="str">
        <v>Climate Change</v>
      </c>
      <c r="H103" s="9" t="str">
        <v>Environmental - Climate Change</v>
      </c>
      <c r="I103" s="12" t="str">
        <v>Energy intensity</v>
      </c>
      <c r="J103" s="9" t="str">
        <v>This indicator measures the ratio of total energy consumption to a normalization factor (NF). The NF can, e.g., be the number of units produced.</v>
      </c>
      <c r="K103" s="9" t="str">
        <v>Quantitative</v>
      </c>
      <c r="L103" s="9" t="str">
        <v>J/NF</v>
      </c>
      <c r="M103" s="9" t="str">
        <v>302-3</v>
      </c>
      <c r="N103" s="9">
        <v>24</v>
      </c>
      <c r="O103" s="9" t="str">
        <v>Akbar &amp; Irohara 2018; Beekaroo et al. 2019; Brown et al. 2014; Fan et al. 2010; Gani et al. 2021; Huang &amp; Badurdeen 2017; Huang &amp; Badurdeen 2018; Kaldas et al. 2021; Kibira et al. 2018; Kravchenko et al. 2019; Linke et al. 2013; Long et al. 2016; Mengistu &amp; Panizzolo 2023a; Park &amp; Kremer 2017; Rao et al. 2006; Saxena et al. 2020; Singh et al. 2007a; Singh et al. 2014; Swarnakar et al. 2022; Tan et al. 2015; Veleva et al. 2001; Vimal et al. 2015; OECD; ISO14031</v>
      </c>
      <c r="P103" s="9" t="str">
        <v>Company; Factory; Production line; Work cell; Process</v>
      </c>
      <c r="Q103" s="9" t="str">
        <v>13 Manufacture of textiles; 24 Manufacture of basic metals; 25 Manufacture of fabricated metal products, except machinery and equipment; 26 Manufacture of computer, electronic and optical products; 27 Manufacture of electrical equipment; 28 Manufacture of machinery and equipment n.e.c.; 29 Manufacture of motor vehicles, trailers and semi-trailers; 31 Manufacture of furniture; 32 Other manufacturing; not specified</v>
      </c>
      <c r="R103" s="9" t="str">
        <v>Original forming; Separating; Joining; Coating and finishing; Change of material properties; not specified</v>
      </c>
      <c r="S103" s="9" t="str">
        <v>Micro; Small; Medium; Large; not specified</v>
      </c>
    </row>
    <row r="104" spans="1:19" ht="51.5" customHeight="1" x14ac:dyDescent="0.35">
      <c r="A104" s="9" t="str">
        <v>13-008</v>
      </c>
      <c r="B104" s="9" t="str">
        <v>Input</v>
      </c>
      <c r="C104" s="9" t="str">
        <v>Energy</v>
      </c>
      <c r="D104" s="9" t="str">
        <v>Input - Energy</v>
      </c>
      <c r="E104" s="9">
        <v>0</v>
      </c>
      <c r="F104" s="9" t="str">
        <v>x</v>
      </c>
      <c r="G104" s="9" t="str">
        <v>Climate Change</v>
      </c>
      <c r="H104" s="9" t="str">
        <v>Environmental - Climate Change</v>
      </c>
      <c r="I104" s="12" t="str">
        <v>Energy efficiency</v>
      </c>
      <c r="J104" s="9" t="str">
        <v>This indicator measures the energy efficiency, which can be measured as the relation between the real work performed by a process and the energy consumption of doing this work, e.g., the ratio of final energy used for production to the total input energy.</v>
      </c>
      <c r="K104" s="9" t="str">
        <v>Quantitative</v>
      </c>
      <c r="L104" s="9" t="str">
        <v>%</v>
      </c>
      <c r="M104" s="9" t="str">
        <v>-</v>
      </c>
      <c r="N104" s="9">
        <v>10</v>
      </c>
      <c r="O104" s="9" t="str">
        <v>Hartini et al. 2020; Huang &amp; Badurdeen 2018; Kibira et al. 2018; Kravchenko et al. 2019; Mengistu &amp; Panizzolo 2021; Mengistu &amp; Panizzolo 2023a; Mengistu &amp; Panizzolo 2023b; Rahdari &amp; Anvary Rostamy 2015; Song &amp; Moon 2019; Tan et al. 2015</v>
      </c>
      <c r="P104" s="9" t="str">
        <v>Company; Factory; Production line; Process</v>
      </c>
      <c r="Q104" s="9" t="str">
        <v>13 Manufacture of textiles; 15 Manufacture of leather and related products; 25 Manufacture of fabricated metal products, except machinery and equipment; 26 Manufacture of computer, electronic and optical products; 28 Manufacture of machinery and equipment n.e.c.; 30 Manufacture of other transport equipment; 31 Manufacture of furniture; not specified</v>
      </c>
      <c r="R104" s="9" t="str">
        <v>Original forming; Separating; Joining; Coating and finishing; Change of material properties; not specified</v>
      </c>
      <c r="S104" s="9" t="str">
        <v>Micro; Small; Medium; Large; not specified</v>
      </c>
    </row>
    <row r="105" spans="1:19" ht="51.5" customHeight="1" x14ac:dyDescent="0.35">
      <c r="A105" s="9" t="str">
        <v>13-009</v>
      </c>
      <c r="B105" s="9" t="str">
        <v>Input</v>
      </c>
      <c r="C105" s="9" t="str">
        <v>Energy</v>
      </c>
      <c r="D105" s="9" t="str">
        <v>Input - Energy</v>
      </c>
      <c r="E105" s="9">
        <v>0</v>
      </c>
      <c r="F105" s="9" t="str">
        <v>x</v>
      </c>
      <c r="G105" s="9" t="str">
        <v>Climate Change</v>
      </c>
      <c r="H105" s="9" t="str">
        <v>Environmental - Climate Change</v>
      </c>
      <c r="I105" s="12" t="str">
        <v>Energy generated from byproducts</v>
      </c>
      <c r="J105" s="9" t="str">
        <v>This indicator measures the total energy generated from by-product or process streams.</v>
      </c>
      <c r="K105" s="9" t="str">
        <v>Quantitative</v>
      </c>
      <c r="L105" s="9" t="str">
        <v>kWh</v>
      </c>
      <c r="M105" s="9" t="str">
        <v>-</v>
      </c>
      <c r="N105" s="9">
        <v>3</v>
      </c>
      <c r="O105" s="9" t="str">
        <v>Kravchenko et al. 2019; Tan et al. 2015; ISO14031</v>
      </c>
      <c r="P105" s="9" t="str">
        <v>Company; Factory</v>
      </c>
      <c r="Q105" s="9" t="str">
        <v>13 Manufacture of textiles; 28 Manufacture of machinery and equipment n.e.c.; 31 Manufacture of furniture; not specified</v>
      </c>
      <c r="R105" s="9" t="str">
        <v>not specified</v>
      </c>
      <c r="S105" s="9" t="str">
        <v>Micro; Small; Medium; Large; not specified</v>
      </c>
    </row>
    <row r="106" spans="1:19" ht="51.5" customHeight="1" x14ac:dyDescent="0.35">
      <c r="A106" s="9" t="str">
        <v>13-010</v>
      </c>
      <c r="B106" s="9" t="str">
        <v>Input</v>
      </c>
      <c r="C106" s="9" t="str">
        <v>Energy</v>
      </c>
      <c r="D106" s="9" t="str">
        <v>Input - Energy</v>
      </c>
      <c r="E106" s="9" t="str">
        <v>x</v>
      </c>
      <c r="F106" s="9">
        <v>0</v>
      </c>
      <c r="G106" s="9" t="str">
        <v>Cost</v>
      </c>
      <c r="H106" s="9" t="str">
        <v>Economic - Cost</v>
      </c>
      <c r="I106" s="12" t="str">
        <v>Energy cost</v>
      </c>
      <c r="J106" s="9" t="str">
        <v>This indicator measures the total cost of energy.</v>
      </c>
      <c r="K106" s="9" t="str">
        <v>Quantitative</v>
      </c>
      <c r="L106" s="9" t="str">
        <v>€</v>
      </c>
      <c r="M106" s="9" t="str">
        <v>-</v>
      </c>
      <c r="N106" s="9">
        <v>9</v>
      </c>
      <c r="O106" s="9" t="str">
        <v>Akbar &amp; Irohara 2018; Faulkner &amp; Badurdeen 2014; Huang &amp; Badurdeen 2017; Huang &amp; Badurdeen 2018; Kravchenko et al. 2019; Mengistu &amp; Panizzolo 2023a; Saad et al. 2021; Tan et al. 2015; Zhang &amp; Haapala 2015</v>
      </c>
      <c r="P106" s="9" t="str">
        <v>Company; Factory; Production line; Work cell; Process</v>
      </c>
      <c r="Q106" s="9" t="str">
        <v>13 Manufacture of textiles; 25 Manufacture of fabricated metal products, except machinery and equipment; 26 Manufacture of computer, electronic and optical products; 28 Manufacture of machinery and equipment n.e.c.; 31 Manufacture of furniture; not specified</v>
      </c>
      <c r="R106" s="9" t="str">
        <v>Original forming; Separating; Joining; Coating and finishing; Change of material properties; not specified</v>
      </c>
      <c r="S106" s="9" t="str">
        <v>Micro; Small; Medium; Large; not specified</v>
      </c>
    </row>
    <row r="107" spans="1:19" ht="51.5" customHeight="1" x14ac:dyDescent="0.35">
      <c r="A107" s="9" t="str">
        <v>13-011</v>
      </c>
      <c r="B107" s="9" t="str">
        <v>Input</v>
      </c>
      <c r="C107" s="9" t="str">
        <v>Energy</v>
      </c>
      <c r="D107" s="9" t="str">
        <v>Input - Energy</v>
      </c>
      <c r="E107" s="9" t="str">
        <v>x</v>
      </c>
      <c r="F107" s="9">
        <v>0</v>
      </c>
      <c r="G107" s="9" t="str">
        <v>Cost</v>
      </c>
      <c r="H107" s="9" t="str">
        <v>Economic - Cost</v>
      </c>
      <c r="I107" s="12" t="str">
        <v>Energy cost per unit of product</v>
      </c>
      <c r="J107" s="9" t="str">
        <v>This indicator measures the total cost of energy to the total production output.</v>
      </c>
      <c r="K107" s="9" t="str">
        <v>Quantitative</v>
      </c>
      <c r="L107" s="9" t="str">
        <v>€/UOP</v>
      </c>
      <c r="M107" s="9" t="str">
        <v>-</v>
      </c>
      <c r="N107" s="9">
        <v>2</v>
      </c>
      <c r="O107" s="9" t="str">
        <v>Kravchenko et al. 2019; Rao et al. 2006</v>
      </c>
      <c r="P107" s="9" t="str">
        <v>Company</v>
      </c>
      <c r="Q107" s="9" t="str">
        <v>13 Manufacture of textiles; 25 Manufacture of fabricated metal products, except machinery and equipment; 28 Manufacture of machinery and equipment n.e.c.; 29 Manufacture of motor vehicles, trailers and semi-trailers; 31 Manufacture of furniture; 32 Other manufacturing</v>
      </c>
      <c r="R107" s="9" t="str">
        <v>not specified</v>
      </c>
      <c r="S107" s="9" t="str">
        <v>Micro; Small; Medium; Large</v>
      </c>
    </row>
    <row r="108" spans="1:19" ht="51.5" customHeight="1" x14ac:dyDescent="0.35">
      <c r="A108" s="9" t="str">
        <v>13-012</v>
      </c>
      <c r="B108" s="9" t="str">
        <v>Input</v>
      </c>
      <c r="C108" s="9" t="str">
        <v>Energy</v>
      </c>
      <c r="D108" s="9" t="str">
        <v>Input - Energy</v>
      </c>
      <c r="E108" s="9" t="str">
        <v>x</v>
      </c>
      <c r="F108" s="9">
        <v>0</v>
      </c>
      <c r="G108" s="9" t="str">
        <v>Cost</v>
      </c>
      <c r="H108" s="9" t="str">
        <v>Economic - Cost</v>
      </c>
      <c r="I108" s="12" t="str">
        <v>Energy cost fraction in production</v>
      </c>
      <c r="J108" s="9" t="str">
        <v>This indicator measures the total energy costs to the total production costs.</v>
      </c>
      <c r="K108" s="9" t="str">
        <v>Quantitative</v>
      </c>
      <c r="L108" s="9" t="str">
        <v>%</v>
      </c>
      <c r="M108" s="9" t="str">
        <v>-</v>
      </c>
      <c r="N108" s="9">
        <v>1</v>
      </c>
      <c r="O108" s="9" t="str">
        <v>Kravchenko et al. 2019</v>
      </c>
      <c r="P108" s="9" t="str">
        <v>Company</v>
      </c>
      <c r="Q108" s="9" t="str">
        <v>13 Manufacture of textiles; 28 Manufacture of machinery and equipment n.e.c.; 31 Manufacture of furniture</v>
      </c>
      <c r="R108" s="9" t="str">
        <v>not specified</v>
      </c>
      <c r="S108" s="9" t="str">
        <v>Micro; Large</v>
      </c>
    </row>
    <row r="109" spans="1:19" ht="51.5" customHeight="1" x14ac:dyDescent="0.35">
      <c r="A109" s="9" t="str">
        <v>13-013</v>
      </c>
      <c r="B109" s="9" t="str">
        <v>Input</v>
      </c>
      <c r="C109" s="9" t="str">
        <v>Energy</v>
      </c>
      <c r="D109" s="9" t="str">
        <v>Input - Energy</v>
      </c>
      <c r="E109" s="9" t="str">
        <v>x</v>
      </c>
      <c r="F109" s="9">
        <v>0</v>
      </c>
      <c r="G109" s="9" t="str">
        <v>Cost</v>
      </c>
      <c r="H109" s="9" t="str">
        <v>Economic - Cost</v>
      </c>
      <c r="I109" s="12" t="str">
        <v>Cost of fuel consumption during distribution</v>
      </c>
      <c r="J109" s="9" t="str">
        <v>This indicator measures the cost of fuel consumption during product distribution.</v>
      </c>
      <c r="K109" s="9" t="str">
        <v>Quantitative</v>
      </c>
      <c r="L109" s="9" t="str">
        <v>€</v>
      </c>
      <c r="M109" s="9" t="str">
        <v>-</v>
      </c>
      <c r="N109" s="9">
        <v>1</v>
      </c>
      <c r="O109" s="9" t="str">
        <v>Kravchenko et al. 2019</v>
      </c>
      <c r="P109" s="9" t="str">
        <v>Company</v>
      </c>
      <c r="Q109" s="9" t="str">
        <v>13 Manufacture of textiles; 28 Manufacture of machinery and equipment n.e.c.; 31 Manufacture of furniture</v>
      </c>
      <c r="R109" s="9" t="str">
        <v>not specified</v>
      </c>
      <c r="S109" s="9" t="str">
        <v>Micro; Large</v>
      </c>
    </row>
    <row r="110" spans="1:19" ht="51.5" customHeight="1" x14ac:dyDescent="0.35">
      <c r="A110" s="9" t="str">
        <v>13-014</v>
      </c>
      <c r="B110" s="9" t="str">
        <v>Input</v>
      </c>
      <c r="C110" s="9" t="str">
        <v>Energy</v>
      </c>
      <c r="D110" s="9" t="str">
        <v>Input - Energy</v>
      </c>
      <c r="E110" s="9">
        <v>0</v>
      </c>
      <c r="F110" s="9" t="str">
        <v>x</v>
      </c>
      <c r="G110" s="9" t="str">
        <v>Climate Change</v>
      </c>
      <c r="H110" s="9" t="str">
        <v>Environmental - Climate Change</v>
      </c>
      <c r="I110" s="12" t="str">
        <v>Renewable energy consumption</v>
      </c>
      <c r="J110" s="9" t="str">
        <v>This indicator measures the total energy consumption that comes from renewable sources.</v>
      </c>
      <c r="K110" s="9" t="str">
        <v>Quantitative</v>
      </c>
      <c r="L110" s="9" t="str">
        <v>J</v>
      </c>
      <c r="M110" s="9" t="str">
        <v>302-1</v>
      </c>
      <c r="N110" s="9">
        <v>9</v>
      </c>
      <c r="O110" s="9" t="str">
        <v>Beekaroo et al. 2019; Dočekalová &amp; Kocmanová 2016; Feil et al. 2019; Hartini et al. 2020; Lee et al. 2014; Mengistu &amp; Panizzolo 2023a; Singh et al. 2014; Zarte et al. 2019; EMAS</v>
      </c>
      <c r="P110" s="9" t="str">
        <v>Company; Factory; Production line</v>
      </c>
      <c r="Q110" s="9" t="str">
        <v>13 Manufacture of textiles; 27 Manufacture of electrical equipment; 29 Manufacture of motor vehicles, trailers and semi-trailers; 31 Manufacture of furniture; not specified</v>
      </c>
      <c r="R110" s="9" t="str">
        <v>Transforming; Separating; Joining; Coating and finishing; not specified</v>
      </c>
      <c r="S110" s="9" t="str">
        <v>Small; Medium; Large; not specified</v>
      </c>
    </row>
    <row r="111" spans="1:19" ht="51.5" customHeight="1" x14ac:dyDescent="0.35">
      <c r="A111" s="9" t="str">
        <v>13-015</v>
      </c>
      <c r="B111" s="9" t="str">
        <v>Input</v>
      </c>
      <c r="C111" s="9" t="str">
        <v>Energy</v>
      </c>
      <c r="D111" s="9" t="str">
        <v>Input - Energy</v>
      </c>
      <c r="E111" s="9">
        <v>0</v>
      </c>
      <c r="F111" s="9" t="str">
        <v>x</v>
      </c>
      <c r="G111" s="9" t="str">
        <v>Climate Change</v>
      </c>
      <c r="H111" s="9" t="str">
        <v>Environmental - Climate Change</v>
      </c>
      <c r="I111" s="12" t="str">
        <v>Renewable energy consumption percentual</v>
      </c>
      <c r="J111" s="9" t="str">
        <v>This indicator measures the amount of energy from renewable sources used to the total energy used.</v>
      </c>
      <c r="K111" s="9" t="str">
        <v>Quantitative</v>
      </c>
      <c r="L111" s="9" t="str">
        <v>%</v>
      </c>
      <c r="M111" s="9" t="str">
        <v>-</v>
      </c>
      <c r="N111" s="9">
        <v>12</v>
      </c>
      <c r="O111" s="9" t="str">
        <v>Fan et al. 2010; Faulkner &amp; Badurdeen 2014; Feil et al. 2017; Gani et al. 2021; Huang &amp; Badurdeen 2017; Huang &amp; Badurdeen 2018; Kaldas et al. 2021; Kravchenko et al. 2019; Li et al. 2012; Rao et al. 2006; Singh et al. 2007b; OECD</v>
      </c>
      <c r="P111" s="9" t="str">
        <v>Company; Factory; Production line; Work cell; Process</v>
      </c>
      <c r="Q111" s="9" t="str">
        <v>13 Manufacture of textiles; 25 Manufacture of fabricated metal products, except machinery and equipment; 26 Manufacture of computer, electronic and optical products; 28 Manufacture of machinery and equipment n.e.c.; 29 Manufacture of motor vehicles, trailers and semi-trailers; 31 Manufacture of furniture; 32 Other manufacturing; not specified</v>
      </c>
      <c r="R111" s="9" t="str">
        <v>Original forming; Separating; Joining; Coating and finishing; Change of material properties; not specified</v>
      </c>
      <c r="S111" s="9" t="str">
        <v>Micro; Small; Medium; Large; not specified</v>
      </c>
    </row>
    <row r="112" spans="1:19" ht="51.5" customHeight="1" x14ac:dyDescent="0.35">
      <c r="A112" s="9" t="str">
        <v>13-016</v>
      </c>
      <c r="B112" s="9" t="str">
        <v>Input</v>
      </c>
      <c r="C112" s="9" t="str">
        <v>Energy</v>
      </c>
      <c r="D112" s="9" t="str">
        <v>Input - Energy</v>
      </c>
      <c r="E112" s="9">
        <v>0</v>
      </c>
      <c r="F112" s="9" t="str">
        <v>x</v>
      </c>
      <c r="G112" s="9" t="str">
        <v>Climate Change</v>
      </c>
      <c r="H112" s="9" t="str">
        <v>Environmental - Climate Change</v>
      </c>
      <c r="I112" s="12" t="str">
        <v>Renewable energy consumption for production</v>
      </c>
      <c r="J112" s="9" t="str">
        <v>This indicator measures the total energy consumption for production that comes from renewable sources.</v>
      </c>
      <c r="K112" s="9" t="str">
        <v>Quantitative</v>
      </c>
      <c r="L112" s="9" t="str">
        <v>J</v>
      </c>
      <c r="M112" s="9" t="str">
        <v>-</v>
      </c>
      <c r="N112" s="9">
        <v>2</v>
      </c>
      <c r="O112" s="9" t="str">
        <v>Cagno et al. 2019; Cagno et al. 2023</v>
      </c>
      <c r="P112" s="9" t="str">
        <v>Company</v>
      </c>
      <c r="Q112" s="9" t="str">
        <v>13 Manufacture of textiles; 23 Manufacture of other non-metallic mineral products; 24 Manufacture of basic metals; 27 Manufacture of electrical equipment; 28 Manufacture of machinery and equipment n.e.c.; 29 Manufacture of motor vehicles, trailers and semi-trailers; 31 Manufacture of furniture</v>
      </c>
      <c r="R112" s="9" t="str">
        <v>not specified</v>
      </c>
      <c r="S112" s="9" t="str">
        <v>Small; Medium; Large</v>
      </c>
    </row>
    <row r="113" spans="1:19" ht="51.5" customHeight="1" x14ac:dyDescent="0.35">
      <c r="A113" s="9" t="str">
        <v>13-017</v>
      </c>
      <c r="B113" s="9" t="str">
        <v>Input</v>
      </c>
      <c r="C113" s="9" t="str">
        <v>Energy</v>
      </c>
      <c r="D113" s="9" t="str">
        <v>Input - Energy</v>
      </c>
      <c r="E113" s="9">
        <v>0</v>
      </c>
      <c r="F113" s="9" t="str">
        <v>x</v>
      </c>
      <c r="G113" s="9" t="str">
        <v>Climate Change</v>
      </c>
      <c r="H113" s="9" t="str">
        <v>Environmental - Climate Change</v>
      </c>
      <c r="I113" s="12" t="str">
        <v>Renewable energy consumption not for production</v>
      </c>
      <c r="J113" s="9" t="str">
        <v>This indicator measures the total energy consumption that comes from renewable sources and is not used for production.</v>
      </c>
      <c r="K113" s="9" t="str">
        <v>Quantitative</v>
      </c>
      <c r="L113" s="9" t="str">
        <v>J</v>
      </c>
      <c r="M113" s="9" t="str">
        <v>-</v>
      </c>
      <c r="N113" s="9">
        <v>1</v>
      </c>
      <c r="O113" s="9" t="str">
        <v>Cagno et al. 2019</v>
      </c>
      <c r="P113" s="9" t="str">
        <v>Company</v>
      </c>
      <c r="Q113" s="9" t="str">
        <v>13 Manufacture of textiles; 24 Manufacture of basic metals; 28 Manufacture of machinery and equipment n.e.c.; 31 Manufacture of furniture</v>
      </c>
      <c r="R113" s="9" t="str">
        <v>not specified</v>
      </c>
      <c r="S113" s="9" t="str">
        <v>Small; Medium; Large</v>
      </c>
    </row>
    <row r="114" spans="1:19" ht="51.5" customHeight="1" x14ac:dyDescent="0.35">
      <c r="A114" s="9" t="str">
        <v>13-018</v>
      </c>
      <c r="B114" s="9" t="str">
        <v>Input</v>
      </c>
      <c r="C114" s="9" t="str">
        <v>Energy</v>
      </c>
      <c r="D114" s="9" t="str">
        <v>Input - Energy</v>
      </c>
      <c r="E114" s="9">
        <v>0</v>
      </c>
      <c r="F114" s="9" t="str">
        <v>x</v>
      </c>
      <c r="G114" s="9" t="str">
        <v>Climate Change</v>
      </c>
      <c r="H114" s="9" t="str">
        <v>Environmental - Climate Change</v>
      </c>
      <c r="I114" s="12" t="str">
        <v>Renewable energy consumption intensity</v>
      </c>
      <c r="J114" s="9" t="str">
        <v>This indicator measures the ratio of the total energy consumption from renewable sources to a normalization factor (NF). The NF can, e.g., be the number of units produced.</v>
      </c>
      <c r="K114" s="9" t="str">
        <v>Quantitative</v>
      </c>
      <c r="L114" s="9" t="str">
        <v>J/NF</v>
      </c>
      <c r="M114" s="9" t="str">
        <v>-</v>
      </c>
      <c r="N114" s="9">
        <v>1</v>
      </c>
      <c r="O114" s="9" t="str">
        <v>Kocmanová et al. 2015</v>
      </c>
      <c r="P114" s="9" t="str">
        <v>Company</v>
      </c>
      <c r="Q114" s="9" t="str">
        <v>13 Manufacture of textiles; 22 Manufacture of rubber and plastic products; 24 Manufacture of basic metals; 25 Manufacture of fabricated metal products, except machinery and equipment; 26 Manufacture of computer, electronic and optical products; 27 Manufacture of electrical equipment; 28 Manufacture of machinery and equipment n.e.c.</v>
      </c>
      <c r="R114" s="9" t="str">
        <v>not specified</v>
      </c>
      <c r="S114" s="9" t="str">
        <v>Large</v>
      </c>
    </row>
    <row r="115" spans="1:19" ht="51.5" customHeight="1" x14ac:dyDescent="0.35">
      <c r="A115" s="9" t="str">
        <v>13-019</v>
      </c>
      <c r="B115" s="9" t="str">
        <v>Input</v>
      </c>
      <c r="C115" s="9" t="str">
        <v>Energy</v>
      </c>
      <c r="D115" s="9" t="str">
        <v>Input - Energy</v>
      </c>
      <c r="E115" s="9">
        <v>0</v>
      </c>
      <c r="F115" s="9" t="str">
        <v>x</v>
      </c>
      <c r="G115" s="9" t="str">
        <v>Climate Change</v>
      </c>
      <c r="H115" s="9" t="str">
        <v>Environmental - Climate Change</v>
      </c>
      <c r="I115" s="12" t="str">
        <v>Energy consumption from wind</v>
      </c>
      <c r="J115" s="9" t="str">
        <v>This indicator measures the wind energy consumption.</v>
      </c>
      <c r="K115" s="9" t="str">
        <v>Quantitative</v>
      </c>
      <c r="L115" s="9" t="str">
        <v>J</v>
      </c>
      <c r="M115" s="9" t="str">
        <v>-</v>
      </c>
      <c r="N115" s="9">
        <v>1</v>
      </c>
      <c r="O115" s="9" t="str">
        <v>Herva et al. 2008</v>
      </c>
      <c r="P115" s="9" t="str">
        <v>Factory</v>
      </c>
      <c r="Q115" s="9" t="str">
        <v>14 Manufacture of wearing apparel</v>
      </c>
      <c r="R115" s="9" t="str">
        <v>Transforming; Separating; Coating and finishing</v>
      </c>
      <c r="S115" s="9" t="str">
        <v>not specified</v>
      </c>
    </row>
    <row r="116" spans="1:19" ht="51.5" customHeight="1" x14ac:dyDescent="0.35">
      <c r="A116" s="9" t="str">
        <v>13-020</v>
      </c>
      <c r="B116" s="9" t="str">
        <v>Input</v>
      </c>
      <c r="C116" s="9" t="str">
        <v>Energy</v>
      </c>
      <c r="D116" s="9" t="str">
        <v>Input - Energy</v>
      </c>
      <c r="E116" s="9">
        <v>0</v>
      </c>
      <c r="F116" s="9" t="str">
        <v>x</v>
      </c>
      <c r="G116" s="9" t="str">
        <v>Climate Change</v>
      </c>
      <c r="H116" s="9" t="str">
        <v>Environmental - Climate Change</v>
      </c>
      <c r="I116" s="12" t="str">
        <v>Energy consumption from solar</v>
      </c>
      <c r="J116" s="9" t="str">
        <v>This indicator measures the solar energy consumption.</v>
      </c>
      <c r="K116" s="9" t="str">
        <v>Quantitative</v>
      </c>
      <c r="L116" s="9" t="str">
        <v>J</v>
      </c>
      <c r="M116" s="9" t="str">
        <v>-</v>
      </c>
      <c r="N116" s="9">
        <v>1</v>
      </c>
      <c r="O116" s="9" t="str">
        <v>Herva et al. 2008</v>
      </c>
      <c r="P116" s="9" t="str">
        <v>Factory</v>
      </c>
      <c r="Q116" s="9" t="str">
        <v>14 Manufacture of wearing apparel</v>
      </c>
      <c r="R116" s="9" t="str">
        <v>Transforming; Separating; Coating and finishing</v>
      </c>
      <c r="S116" s="9" t="str">
        <v>not specified</v>
      </c>
    </row>
    <row r="117" spans="1:19" ht="51.5" customHeight="1" x14ac:dyDescent="0.35">
      <c r="A117" s="9" t="str">
        <v>13-021</v>
      </c>
      <c r="B117" s="9" t="str">
        <v>Input</v>
      </c>
      <c r="C117" s="9" t="str">
        <v>Energy</v>
      </c>
      <c r="D117" s="9" t="str">
        <v>Input - Energy</v>
      </c>
      <c r="E117" s="9">
        <v>0</v>
      </c>
      <c r="F117" s="9" t="str">
        <v>x</v>
      </c>
      <c r="G117" s="9" t="str">
        <v>Climate Change</v>
      </c>
      <c r="H117" s="9" t="str">
        <v>Environmental - Climate Change</v>
      </c>
      <c r="I117" s="12" t="str">
        <v>Energy consumption from hydropower</v>
      </c>
      <c r="J117" s="9" t="str">
        <v>This indicator measures the hydropower energy consumption.</v>
      </c>
      <c r="K117" s="9" t="str">
        <v>Quantitative</v>
      </c>
      <c r="L117" s="9" t="str">
        <v>J</v>
      </c>
      <c r="M117" s="9" t="str">
        <v>-</v>
      </c>
      <c r="N117" s="9">
        <v>1</v>
      </c>
      <c r="O117" s="9" t="str">
        <v>Herva et al. 2008</v>
      </c>
      <c r="P117" s="9" t="str">
        <v>Factory</v>
      </c>
      <c r="Q117" s="9" t="str">
        <v>14 Manufacture of wearing apparel</v>
      </c>
      <c r="R117" s="9" t="str">
        <v>Transforming; Separating; Coating and finishing</v>
      </c>
      <c r="S117" s="9" t="str">
        <v>not specified</v>
      </c>
    </row>
    <row r="118" spans="1:19" ht="51.5" customHeight="1" x14ac:dyDescent="0.35">
      <c r="A118" s="9" t="str">
        <v>13-022</v>
      </c>
      <c r="B118" s="9" t="str">
        <v>Input</v>
      </c>
      <c r="C118" s="9" t="str">
        <v>Energy</v>
      </c>
      <c r="D118" s="9" t="str">
        <v>Input - Energy</v>
      </c>
      <c r="E118" s="9">
        <v>0</v>
      </c>
      <c r="F118" s="9" t="str">
        <v>x</v>
      </c>
      <c r="G118" s="9" t="str">
        <v>Climate Change</v>
      </c>
      <c r="H118" s="9" t="str">
        <v>Environmental - Climate Change</v>
      </c>
      <c r="I118" s="12" t="str">
        <v>Energy consumption from biomass</v>
      </c>
      <c r="J118" s="9" t="str">
        <v>This indicator measures the energy consumption from biomass.</v>
      </c>
      <c r="K118" s="9" t="str">
        <v>Quantitative</v>
      </c>
      <c r="L118" s="9" t="str">
        <v>J</v>
      </c>
      <c r="M118" s="9" t="str">
        <v>-</v>
      </c>
      <c r="N118" s="9">
        <v>3</v>
      </c>
      <c r="O118" s="9" t="str">
        <v>Herva et al. 2008; Kravchenko et al. 2019; Singh et al. 2007b</v>
      </c>
      <c r="P118" s="9" t="str">
        <v>Company; Factory; Process</v>
      </c>
      <c r="Q118" s="9" t="str">
        <v>13 Manufacture of textiles; 14 Manufacture of wearing apparel; 28 Manufacture of machinery and equipment n.e.c.; 29 Manufacture of motor vehicles, trailers and semi-trailers; 31 Manufacture of furniture</v>
      </c>
      <c r="R118" s="9" t="str">
        <v>Original forming; Transforming; Separating; Coating and finishing; Change of material properties; not specified</v>
      </c>
      <c r="S118" s="9" t="str">
        <v>Micro; Large; not specified</v>
      </c>
    </row>
    <row r="119" spans="1:19" ht="51.5" customHeight="1" x14ac:dyDescent="0.35">
      <c r="A119" s="9" t="str">
        <v>13-023</v>
      </c>
      <c r="B119" s="9" t="str">
        <v>Input</v>
      </c>
      <c r="C119" s="9" t="str">
        <v>Energy</v>
      </c>
      <c r="D119" s="9" t="str">
        <v>Input - Energy</v>
      </c>
      <c r="E119" s="9">
        <v>0</v>
      </c>
      <c r="F119" s="9" t="str">
        <v>x</v>
      </c>
      <c r="G119" s="9" t="str">
        <v>Climate Change</v>
      </c>
      <c r="H119" s="9" t="str">
        <v>Environmental - Climate Change</v>
      </c>
      <c r="I119" s="12" t="str">
        <v>Non-renewable energy consumption</v>
      </c>
      <c r="J119" s="9" t="str">
        <v>This indicator measures the total energy consumption from non-renewable sources, e.g., gas, petroleum, electricity, coal, or other non-renewable resources.</v>
      </c>
      <c r="K119" s="9" t="str">
        <v>Quantitative</v>
      </c>
      <c r="L119" s="9" t="str">
        <v>J</v>
      </c>
      <c r="M119" s="9" t="str">
        <v>302-1</v>
      </c>
      <c r="N119" s="9">
        <v>1</v>
      </c>
      <c r="O119" s="9" t="str">
        <v>Park &amp; Kremer 2017</v>
      </c>
      <c r="P119" s="9" t="str">
        <v>Company</v>
      </c>
      <c r="Q119" s="9" t="str">
        <v>not specified</v>
      </c>
      <c r="R119" s="9" t="str">
        <v>not specified</v>
      </c>
      <c r="S119" s="9" t="str">
        <v>not specified</v>
      </c>
    </row>
    <row r="120" spans="1:19" ht="51.5" customHeight="1" x14ac:dyDescent="0.35">
      <c r="A120" s="9" t="str">
        <v>13-024</v>
      </c>
      <c r="B120" s="9" t="str">
        <v>Input</v>
      </c>
      <c r="C120" s="9" t="str">
        <v>Energy</v>
      </c>
      <c r="D120" s="9" t="str">
        <v>Input - Energy</v>
      </c>
      <c r="E120" s="9">
        <v>0</v>
      </c>
      <c r="F120" s="9" t="str">
        <v>x</v>
      </c>
      <c r="G120" s="9" t="str">
        <v>Climate Change</v>
      </c>
      <c r="H120" s="9" t="str">
        <v>Environmental - Climate Change</v>
      </c>
      <c r="I120" s="12" t="str">
        <v>Non-renewable to renewable energy consumption</v>
      </c>
      <c r="J120" s="9" t="str">
        <v>This indicator measures the ratio of non-renewable energy to renewable energy used.</v>
      </c>
      <c r="K120" s="9" t="str">
        <v>Quantitative</v>
      </c>
      <c r="L120" s="9" t="str">
        <v>%</v>
      </c>
      <c r="M120" s="9" t="str">
        <v>-</v>
      </c>
      <c r="N120" s="9">
        <v>1</v>
      </c>
      <c r="O120" s="9" t="str">
        <v>Moldavska &amp; Welo 2018</v>
      </c>
      <c r="P120" s="9" t="str">
        <v>Company</v>
      </c>
      <c r="Q120" s="9" t="str">
        <v>22 Manufacture of rubber and plastic products; 28 Manufacture of machinery and equipment n.e.c.; 29 Manufacture of motor vehicles, trailers and semi-trailers; not specified</v>
      </c>
      <c r="R120" s="9" t="str">
        <v>not specified</v>
      </c>
      <c r="S120" s="9" t="str">
        <v>Small; Medium</v>
      </c>
    </row>
    <row r="121" spans="1:19" ht="51.5" customHeight="1" x14ac:dyDescent="0.35">
      <c r="A121" s="9" t="str">
        <v>13-025</v>
      </c>
      <c r="B121" s="9" t="str">
        <v>Input</v>
      </c>
      <c r="C121" s="9" t="str">
        <v>Energy</v>
      </c>
      <c r="D121" s="9" t="str">
        <v>Input - Energy</v>
      </c>
      <c r="E121" s="9">
        <v>0</v>
      </c>
      <c r="F121" s="9" t="str">
        <v>x</v>
      </c>
      <c r="G121" s="9" t="str">
        <v>Climate Change</v>
      </c>
      <c r="H121" s="9" t="str">
        <v>Environmental - Climate Change</v>
      </c>
      <c r="I121" s="12" t="str">
        <v>Non-renewable energy consumption for production</v>
      </c>
      <c r="J121" s="9" t="str">
        <v>This indicator measures the total energy consumption for production that comes from non-renewable sources.</v>
      </c>
      <c r="K121" s="9" t="str">
        <v>Quantitative</v>
      </c>
      <c r="L121" s="9" t="str">
        <v>J</v>
      </c>
      <c r="M121" s="9" t="str">
        <v>-</v>
      </c>
      <c r="N121" s="9">
        <v>1</v>
      </c>
      <c r="O121" s="9" t="str">
        <v>Cagno et al. 2023</v>
      </c>
      <c r="P121" s="9" t="str">
        <v>Company</v>
      </c>
      <c r="Q121" s="9" t="str">
        <v>23 Manufacture of other non-metallic mineral products; 27 Manufacture of electrical equipment; 29 Manufacture of motor vehicles, trailers and semi-trailers; 31 Manufacture of furniture</v>
      </c>
      <c r="R121" s="9" t="str">
        <v>not specified</v>
      </c>
      <c r="S121" s="9" t="str">
        <v>Small; Large</v>
      </c>
    </row>
    <row r="122" spans="1:19" ht="51.5" customHeight="1" x14ac:dyDescent="0.35">
      <c r="A122" s="9" t="str">
        <v>13-026</v>
      </c>
      <c r="B122" s="9" t="str">
        <v>Input</v>
      </c>
      <c r="C122" s="9" t="str">
        <v>Energy</v>
      </c>
      <c r="D122" s="9" t="str">
        <v>Input - Energy</v>
      </c>
      <c r="E122" s="9">
        <v>0</v>
      </c>
      <c r="F122" s="9" t="str">
        <v>x</v>
      </c>
      <c r="G122" s="9" t="str">
        <v>Climate Change</v>
      </c>
      <c r="H122" s="9" t="str">
        <v>Environmental - Climate Change</v>
      </c>
      <c r="I122" s="12" t="str">
        <v>Energy consumption from coal</v>
      </c>
      <c r="J122" s="9" t="str">
        <v>This indicator measures the energy consumption from coal.</v>
      </c>
      <c r="K122" s="9" t="str">
        <v>Quantitative</v>
      </c>
      <c r="L122" s="9" t="str">
        <v>J</v>
      </c>
      <c r="M122" s="9" t="str">
        <v>-</v>
      </c>
      <c r="N122" s="9">
        <v>1</v>
      </c>
      <c r="O122" s="9" t="str">
        <v>Cagno et al. 2019</v>
      </c>
      <c r="P122" s="9" t="str">
        <v>Company</v>
      </c>
      <c r="Q122" s="9" t="str">
        <v>13 Manufacture of textiles; 24 Manufacture of basic metals; 28 Manufacture of machinery and equipment n.e.c.; 31 Manufacture of furniture</v>
      </c>
      <c r="R122" s="9" t="str">
        <v>not specified</v>
      </c>
      <c r="S122" s="9" t="str">
        <v>Small; Medium; Large</v>
      </c>
    </row>
    <row r="123" spans="1:19" ht="51.5" customHeight="1" x14ac:dyDescent="0.35">
      <c r="A123" s="9" t="str">
        <v>13-027</v>
      </c>
      <c r="B123" s="9" t="str">
        <v>Input</v>
      </c>
      <c r="C123" s="9" t="str">
        <v>Energy</v>
      </c>
      <c r="D123" s="9" t="str">
        <v>Input - Energy</v>
      </c>
      <c r="E123" s="9">
        <v>0</v>
      </c>
      <c r="F123" s="9" t="str">
        <v>x</v>
      </c>
      <c r="G123" s="9" t="str">
        <v>Climate Change</v>
      </c>
      <c r="H123" s="9" t="str">
        <v>Environmental - Climate Change</v>
      </c>
      <c r="I123" s="12" t="str">
        <v>Energy consumption from natural gas</v>
      </c>
      <c r="J123" s="9" t="str">
        <v>This indicator measures the energy consumption from natural gas.</v>
      </c>
      <c r="K123" s="9" t="str">
        <v>Quantitative</v>
      </c>
      <c r="L123" s="9" t="str">
        <v>J</v>
      </c>
      <c r="M123" s="9" t="str">
        <v>-</v>
      </c>
      <c r="N123" s="9">
        <v>6</v>
      </c>
      <c r="O123" s="9" t="str">
        <v>Butnariu &amp; Avasilcai 2015; Cagno et al. 2019; Favi et al. 2017; Herva et al. 2008; Kravchenko et al. 2019; Singh et al. 2007b</v>
      </c>
      <c r="P123" s="9" t="str">
        <v>Company; Factory; Process</v>
      </c>
      <c r="Q123" s="9" t="str">
        <v>13 Manufacture of textiles; 14 Manufacture of wearing apparel; 24 Manufacture of basic metals; 27 Manufacture of electrical equipment; 28 Manufacture of machinery and equipment n.e.c.; 29 Manufacture of motor vehicles, trailers and semi-trailers; 31 Manufacture of furniture</v>
      </c>
      <c r="R123" s="9" t="str">
        <v>Original forming; Transforming; Separating; Coating and finishing; Change of material properties; not specified</v>
      </c>
      <c r="S123" s="9" t="str">
        <v>Micro; Small; Medium; Large; not specified</v>
      </c>
    </row>
    <row r="124" spans="1:19" ht="51.5" customHeight="1" x14ac:dyDescent="0.35">
      <c r="A124" s="9" t="str">
        <v>13-028</v>
      </c>
      <c r="B124" s="9" t="str">
        <v>Input</v>
      </c>
      <c r="C124" s="9" t="str">
        <v>Energy</v>
      </c>
      <c r="D124" s="9" t="str">
        <v>Input - Energy</v>
      </c>
      <c r="E124" s="9">
        <v>0</v>
      </c>
      <c r="F124" s="9" t="str">
        <v>x</v>
      </c>
      <c r="G124" s="9" t="str">
        <v>Climate Change</v>
      </c>
      <c r="H124" s="9" t="str">
        <v>Environmental - Climate Change</v>
      </c>
      <c r="I124" s="12" t="str">
        <v>Energy consumption from LPG</v>
      </c>
      <c r="J124" s="9" t="str">
        <v>This indicator measures the energy consumption from LPG (Liquefied Petroleum Gas).</v>
      </c>
      <c r="K124" s="9" t="str">
        <v>Quantitative</v>
      </c>
      <c r="L124" s="9" t="str">
        <v>J</v>
      </c>
      <c r="M124" s="9" t="str">
        <v>-</v>
      </c>
      <c r="N124" s="9">
        <v>2</v>
      </c>
      <c r="O124" s="9" t="str">
        <v>Kravchenko et al. 2019; Singh et al. 2007b</v>
      </c>
      <c r="P124" s="9" t="str">
        <v>Company; Process</v>
      </c>
      <c r="Q124" s="9" t="str">
        <v>13 Manufacture of textiles; 28 Manufacture of machinery and equipment n.e.c.; 29 Manufacture of motor vehicles, trailers and semi-trailers; 31 Manufacture of furniture</v>
      </c>
      <c r="R124" s="9" t="str">
        <v>Original forming; Separating; Change of material properties; not specified</v>
      </c>
      <c r="S124" s="9" t="str">
        <v>Micro; Large; not specified</v>
      </c>
    </row>
    <row r="125" spans="1:19" ht="51.5" customHeight="1" x14ac:dyDescent="0.35">
      <c r="A125" s="9" t="str">
        <v>13-029</v>
      </c>
      <c r="B125" s="9" t="str">
        <v>Input</v>
      </c>
      <c r="C125" s="9" t="str">
        <v>Energy</v>
      </c>
      <c r="D125" s="9" t="str">
        <v>Input - Energy</v>
      </c>
      <c r="E125" s="9">
        <v>0</v>
      </c>
      <c r="F125" s="9" t="str">
        <v>x</v>
      </c>
      <c r="G125" s="9" t="str">
        <v>Climate Change</v>
      </c>
      <c r="H125" s="9" t="str">
        <v>Environmental - Climate Change</v>
      </c>
      <c r="I125" s="12" t="str">
        <v>Energy consumption from petrol/ diesel fuel</v>
      </c>
      <c r="J125" s="9" t="str">
        <v>This indicator measures the energy consumption from petrol/ diesel fuel.</v>
      </c>
      <c r="K125" s="9" t="str">
        <v>Quantitative</v>
      </c>
      <c r="L125" s="9" t="str">
        <v>J</v>
      </c>
      <c r="M125" s="9" t="str">
        <v>-</v>
      </c>
      <c r="N125" s="9">
        <v>2</v>
      </c>
      <c r="O125" s="9" t="str">
        <v>Herva et al. 2008; Singh et al. 2007b</v>
      </c>
      <c r="P125" s="9" t="str">
        <v>Factory; Process</v>
      </c>
      <c r="Q125" s="9" t="str">
        <v>14 Manufacture of wearing apparel; 29 Manufacture of motor vehicles, trailers and semi-trailers</v>
      </c>
      <c r="R125" s="9" t="str">
        <v>Original forming; Transforming; Separating; Coating and finishing; Change of material properties</v>
      </c>
      <c r="S125" s="9" t="str">
        <v>not specified</v>
      </c>
    </row>
    <row r="126" spans="1:19" ht="51.5" customHeight="1" x14ac:dyDescent="0.35">
      <c r="A126" s="9" t="str">
        <v>13-030</v>
      </c>
      <c r="B126" s="9" t="str">
        <v>Input</v>
      </c>
      <c r="C126" s="9" t="str">
        <v>Energy</v>
      </c>
      <c r="D126" s="9" t="str">
        <v>Input - Energy</v>
      </c>
      <c r="E126" s="9">
        <v>0</v>
      </c>
      <c r="F126" s="9" t="str">
        <v>x</v>
      </c>
      <c r="G126" s="9" t="str">
        <v>Climate Change</v>
      </c>
      <c r="H126" s="9" t="str">
        <v>Environmental - Climate Change</v>
      </c>
      <c r="I126" s="12" t="str">
        <v>Energy consumption from nuclear</v>
      </c>
      <c r="J126" s="9" t="str">
        <v>This indicator measures the nuclear energy consumption.</v>
      </c>
      <c r="K126" s="9" t="str">
        <v>Quantitative</v>
      </c>
      <c r="L126" s="9" t="str">
        <v>J</v>
      </c>
      <c r="M126" s="9" t="str">
        <v>-</v>
      </c>
      <c r="N126" s="9">
        <v>1</v>
      </c>
      <c r="O126" s="9" t="str">
        <v>Herva et al. 2008</v>
      </c>
      <c r="P126" s="9" t="str">
        <v>Factory</v>
      </c>
      <c r="Q126" s="9" t="str">
        <v>14 Manufacture of wearing apparel</v>
      </c>
      <c r="R126" s="9" t="str">
        <v>Transforming; Separating; Coating and finishing</v>
      </c>
      <c r="S126" s="9" t="str">
        <v>not specified</v>
      </c>
    </row>
    <row r="127" spans="1:19" ht="51.5" customHeight="1" x14ac:dyDescent="0.35">
      <c r="A127" s="9" t="str">
        <v>13-031</v>
      </c>
      <c r="B127" s="9" t="str">
        <v>Input</v>
      </c>
      <c r="C127" s="9" t="str">
        <v>Energy</v>
      </c>
      <c r="D127" s="9" t="str">
        <v>Input - Energy</v>
      </c>
      <c r="E127" s="9">
        <v>0</v>
      </c>
      <c r="F127" s="9" t="str">
        <v>x</v>
      </c>
      <c r="G127" s="9" t="str">
        <v>Climate Change</v>
      </c>
      <c r="H127" s="9" t="str">
        <v>Environmental - Climate Change</v>
      </c>
      <c r="I127" s="12" t="str">
        <v>Energy consumption to run the machine while idle (Idle energy losses)</v>
      </c>
      <c r="J127" s="9" t="str">
        <v>This indicator measures the energy consumption when the machines are in idle status.</v>
      </c>
      <c r="K127" s="9" t="str">
        <v>Quantitative</v>
      </c>
      <c r="L127" s="9" t="str">
        <v>kWh</v>
      </c>
      <c r="M127" s="9" t="str">
        <v>-</v>
      </c>
      <c r="N127" s="9">
        <v>1</v>
      </c>
      <c r="O127" s="9" t="str">
        <v>Huang &amp; Badurdeen 2018</v>
      </c>
      <c r="P127" s="9" t="str">
        <v>Factory; Production line</v>
      </c>
      <c r="Q127" s="9" t="str">
        <v>26 Manufacture of computer, electronic and optical products</v>
      </c>
      <c r="R127" s="9" t="str">
        <v>Original forming; Joining; Coating and finishing; Change of material properties</v>
      </c>
      <c r="S127" s="9" t="str">
        <v>not specified</v>
      </c>
    </row>
    <row r="128" spans="1:19" ht="51.5" customHeight="1" x14ac:dyDescent="0.35">
      <c r="A128" s="9" t="str">
        <v>13-032</v>
      </c>
      <c r="B128" s="9" t="str">
        <v>Input</v>
      </c>
      <c r="C128" s="9" t="str">
        <v>Energy</v>
      </c>
      <c r="D128" s="9" t="str">
        <v>Input - Energy</v>
      </c>
      <c r="E128" s="9">
        <v>0</v>
      </c>
      <c r="F128" s="9" t="str">
        <v>x</v>
      </c>
      <c r="G128" s="9" t="str">
        <v>Climate Change</v>
      </c>
      <c r="H128" s="9" t="str">
        <v>Environmental - Climate Change</v>
      </c>
      <c r="I128" s="12" t="str">
        <v>Energy consumption in standby mode of production equipment</v>
      </c>
      <c r="J128" s="9" t="str">
        <v>This indicator measures the energy consumption of production equipment in standby mode.</v>
      </c>
      <c r="K128" s="9" t="str">
        <v>Quantitative</v>
      </c>
      <c r="L128" s="9" t="str">
        <v>kWh</v>
      </c>
      <c r="M128" s="9" t="str">
        <v>-</v>
      </c>
      <c r="N128" s="9">
        <v>1</v>
      </c>
      <c r="O128" s="9" t="str">
        <v>Kravchenko et al. 2019</v>
      </c>
      <c r="P128" s="9" t="str">
        <v>Company</v>
      </c>
      <c r="Q128" s="9" t="str">
        <v>13 Manufacture of textiles; 28 Manufacture of machinery and equipment n.e.c.; 31 Manufacture of furniture</v>
      </c>
      <c r="R128" s="9" t="str">
        <v>not specified</v>
      </c>
      <c r="S128" s="9" t="str">
        <v>Micro; Large</v>
      </c>
    </row>
    <row r="129" spans="1:19" ht="51.5" customHeight="1" x14ac:dyDescent="0.35">
      <c r="A129" s="9" t="str">
        <v>13-033</v>
      </c>
      <c r="B129" s="9" t="str">
        <v>Input</v>
      </c>
      <c r="C129" s="9" t="str">
        <v>Energy</v>
      </c>
      <c r="D129" s="9" t="str">
        <v>Input - Energy</v>
      </c>
      <c r="E129" s="9">
        <v>0</v>
      </c>
      <c r="F129" s="9" t="str">
        <v>x</v>
      </c>
      <c r="G129" s="9" t="str">
        <v>Climate Change</v>
      </c>
      <c r="H129" s="9" t="str">
        <v>Environmental - Climate Change</v>
      </c>
      <c r="I129" s="12" t="str">
        <v>Energy consumption for material handling</v>
      </c>
      <c r="J129" s="9" t="str">
        <v>This indicator measures the energy consumption associated with material handling/ transportation during production.</v>
      </c>
      <c r="K129" s="9" t="str">
        <v>Quantitative</v>
      </c>
      <c r="L129" s="9" t="str">
        <v>kWh</v>
      </c>
      <c r="M129" s="9" t="str">
        <v>-</v>
      </c>
      <c r="N129" s="9">
        <v>2</v>
      </c>
      <c r="O129" s="9" t="str">
        <v>Faulkner &amp; Badurdeen 2014; Huang &amp; Badurdeen 2018</v>
      </c>
      <c r="P129" s="9" t="str">
        <v>Factory; Production line; Process</v>
      </c>
      <c r="Q129" s="9" t="str">
        <v>26 Manufacture of computer, electronic and optical products</v>
      </c>
      <c r="R129" s="9" t="str">
        <v>Original forming; Joining; Coating and finishing; Change of material properties</v>
      </c>
      <c r="S129" s="9" t="str">
        <v>not specified</v>
      </c>
    </row>
    <row r="130" spans="1:19" ht="51.5" customHeight="1" x14ac:dyDescent="0.35">
      <c r="A130" s="9" t="str">
        <v>13-034</v>
      </c>
      <c r="B130" s="9" t="str">
        <v>Input</v>
      </c>
      <c r="C130" s="9" t="str">
        <v>Energy</v>
      </c>
      <c r="D130" s="9" t="str">
        <v>Input - Energy</v>
      </c>
      <c r="E130" s="9">
        <v>0</v>
      </c>
      <c r="F130" s="9" t="str">
        <v>x</v>
      </c>
      <c r="G130" s="9" t="str">
        <v>Climate Change</v>
      </c>
      <c r="H130" s="9" t="str">
        <v>Environmental - Climate Change</v>
      </c>
      <c r="I130" s="12" t="str">
        <v>Energy consumption on maintaining working environment</v>
      </c>
      <c r="J130" s="9" t="str">
        <v>This indicator measures the energy consumption associated with maintaining the working environment, e.g., for lighting, heating, or cooling in a building.</v>
      </c>
      <c r="K130" s="9" t="str">
        <v>Quantitative</v>
      </c>
      <c r="L130" s="9" t="str">
        <v>kWh</v>
      </c>
      <c r="M130" s="9" t="str">
        <v>-</v>
      </c>
      <c r="N130" s="9">
        <v>1</v>
      </c>
      <c r="O130" s="9" t="str">
        <v>Faulkner &amp; Badurdeen 2014</v>
      </c>
      <c r="P130" s="9" t="str">
        <v>Process</v>
      </c>
      <c r="Q130" s="9" t="str">
        <v>26 Manufacture of computer, electronic and optical products</v>
      </c>
      <c r="R130" s="9" t="str">
        <v>Original forming; Joining; Coating and finishing; Change of material properties</v>
      </c>
      <c r="S130" s="9" t="str">
        <v>not specified</v>
      </c>
    </row>
    <row r="131" spans="1:19" ht="51.5" customHeight="1" x14ac:dyDescent="0.35">
      <c r="A131" s="9" t="str">
        <v>14-001</v>
      </c>
      <c r="B131" s="9" t="str">
        <v>Input</v>
      </c>
      <c r="C131" s="9" t="str">
        <v>Facilities and equipment</v>
      </c>
      <c r="D131" s="9" t="str">
        <v>Input - Facilities and equipment</v>
      </c>
      <c r="E131" s="9">
        <v>0</v>
      </c>
      <c r="F131" s="9" t="str">
        <v>x</v>
      </c>
      <c r="G131" s="9" t="str">
        <v>Biodiversity &amp; Ecosystems</v>
      </c>
      <c r="H131" s="9" t="str">
        <v>Environmental - Biodiversity &amp; Ecosystems</v>
      </c>
      <c r="I131" s="12" t="str">
        <v>Land usage</v>
      </c>
      <c r="J131" s="9" t="str">
        <v>This indicator measures the total area of land used.</v>
      </c>
      <c r="K131" s="9" t="str">
        <v>Quantitative</v>
      </c>
      <c r="L131" s="9" t="str">
        <v>m²</v>
      </c>
      <c r="M131" s="9" t="str">
        <v>-</v>
      </c>
      <c r="N131" s="9">
        <v>11</v>
      </c>
      <c r="O131" s="9" t="str">
        <v>Amrina &amp; Vilsi 2015; Amrina &amp; Yusof 2011; Beekaroo et al. 2019; Dočekalová &amp; Kocmanová 2016; Gani et al. 2021; Kravchenko et al. 2019; Mengistu &amp; Panizzolo 2023a; Lee et al. 2014; Singh et al. 2014; EMAS; ISO14031</v>
      </c>
      <c r="P131" s="9" t="str">
        <v>Company; Factory; Production line</v>
      </c>
      <c r="Q131" s="9" t="str">
        <v>13 Manufacture of textiles; 23 Manufacture of other non-metallic mineral products; 27 Manufacture of electrical equipment; 28 Manufacture of machinery and equipment n.e.c.; 29 Manufacture of motor vehicles, trailers and semi-trailers; 31 Manufacture of furniture; not specified</v>
      </c>
      <c r="R131" s="9" t="str">
        <v>Transforming; Joining; not specified</v>
      </c>
      <c r="S131" s="9" t="str">
        <v>Micro; Small; Medium; Large; not specified</v>
      </c>
    </row>
    <row r="132" spans="1:19" ht="51.5" customHeight="1" x14ac:dyDescent="0.35">
      <c r="A132" s="9" t="str">
        <v>14-002</v>
      </c>
      <c r="B132" s="9" t="str">
        <v>Input</v>
      </c>
      <c r="C132" s="9" t="str">
        <v>Facilities and equipment</v>
      </c>
      <c r="D132" s="9" t="str">
        <v>Input - Facilities and equipment</v>
      </c>
      <c r="E132" s="9">
        <v>0</v>
      </c>
      <c r="F132" s="9" t="str">
        <v>x</v>
      </c>
      <c r="G132" s="9" t="str">
        <v>Biodiversity &amp; Ecosystems</v>
      </c>
      <c r="H132" s="9" t="str">
        <v>Environmental - Biodiversity &amp; Ecosystems</v>
      </c>
      <c r="I132" s="12" t="str">
        <v>Green area percentual</v>
      </c>
      <c r="J132" s="9" t="str">
        <v>This indicator measures the green area to total land used.</v>
      </c>
      <c r="K132" s="9" t="str">
        <v>Quantitative</v>
      </c>
      <c r="L132" s="9" t="str">
        <v>%</v>
      </c>
      <c r="M132" s="9" t="str">
        <v>-</v>
      </c>
      <c r="N132" s="9">
        <v>3</v>
      </c>
      <c r="O132" s="9" t="str">
        <v>Lee et al. 2014; Singh et al. 2007a; OECD</v>
      </c>
      <c r="P132" s="9" t="str">
        <v>Company; Factory; Production line; Work cell; Process</v>
      </c>
      <c r="Q132" s="9" t="str">
        <v>24 Manufacture of basic metals; 29 Manufacture of motor vehicles, trailers and semi-trailers; not specified</v>
      </c>
      <c r="R132" s="9" t="str">
        <v>Transforming; Joining; not specified</v>
      </c>
      <c r="S132" s="9" t="str">
        <v>Small; Medium; Large; not specified</v>
      </c>
    </row>
    <row r="133" spans="1:19" ht="51.5" customHeight="1" x14ac:dyDescent="0.35">
      <c r="A133" s="9" t="str">
        <v>14-003</v>
      </c>
      <c r="B133" s="9" t="str">
        <v>Input</v>
      </c>
      <c r="C133" s="9" t="str">
        <v>Facilities and equipment</v>
      </c>
      <c r="D133" s="9" t="str">
        <v>Input - Facilities and equipment</v>
      </c>
      <c r="E133" s="9">
        <v>0</v>
      </c>
      <c r="F133" s="9" t="str">
        <v>x</v>
      </c>
      <c r="G133" s="9" t="str">
        <v>Biodiversity &amp; Ecosystems</v>
      </c>
      <c r="H133" s="9" t="str">
        <v>Environmental - Biodiversity &amp; Ecosystems</v>
      </c>
      <c r="I133" s="12" t="str">
        <v>Net green area impact</v>
      </c>
      <c r="J133" s="9" t="str">
        <v>This indicator measures the ratio of the green area removed minus the green area created to the green area removed.</v>
      </c>
      <c r="K133" s="9" t="str">
        <v>Quantitative</v>
      </c>
      <c r="L133" s="9" t="str">
        <v>%</v>
      </c>
      <c r="M133" s="9" t="str">
        <v>-</v>
      </c>
      <c r="N133" s="9">
        <v>2</v>
      </c>
      <c r="O133" s="9" t="str">
        <v>Swarnakar et al. 2021; Swarnakar et al. 2022</v>
      </c>
      <c r="P133" s="9" t="str">
        <v>Process</v>
      </c>
      <c r="Q133" s="9" t="str">
        <v>28 Manufacture of machinery and equipment n.e.c.; 29 Manufacture of motor vehicles, trailers and semi-trailers; not specified</v>
      </c>
      <c r="R133" s="9" t="str">
        <v>Transforming; Separating; Coating and finishing; Change of material properties; not specified</v>
      </c>
      <c r="S133" s="9" t="str">
        <v>not specified</v>
      </c>
    </row>
    <row r="134" spans="1:19" ht="51.5" customHeight="1" x14ac:dyDescent="0.35">
      <c r="A134" s="9" t="str">
        <v>14-004</v>
      </c>
      <c r="B134" s="9" t="str">
        <v>Input</v>
      </c>
      <c r="C134" s="9" t="str">
        <v>Facilities and equipment</v>
      </c>
      <c r="D134" s="9" t="str">
        <v>Input - Facilities and equipment</v>
      </c>
      <c r="E134" s="9">
        <v>0</v>
      </c>
      <c r="F134" s="9" t="str">
        <v>x</v>
      </c>
      <c r="G134" s="9" t="str">
        <v>Biodiversity &amp; Ecosystems</v>
      </c>
      <c r="H134" s="9" t="str">
        <v>Environmental - Biodiversity &amp; Ecosystems</v>
      </c>
      <c r="I134" s="12" t="str">
        <v>Total sealed area</v>
      </c>
      <c r="J134" s="9" t="str">
        <v>This indicator measures the area where the original soil has been covered (e.g., roads, buildings, parking lots), making it impermeable.</v>
      </c>
      <c r="K134" s="9" t="str">
        <v>Quantitative</v>
      </c>
      <c r="L134" s="9" t="str">
        <v>m²</v>
      </c>
      <c r="M134" s="9" t="str">
        <v>-</v>
      </c>
      <c r="N134" s="9">
        <v>1</v>
      </c>
      <c r="O134" s="9" t="str">
        <v>EMAS</v>
      </c>
      <c r="P134" s="9" t="str">
        <v>Factory</v>
      </c>
      <c r="Q134" s="9" t="str">
        <v>not specified</v>
      </c>
      <c r="R134" s="9" t="str">
        <v>not specified</v>
      </c>
      <c r="S134" s="9" t="str">
        <v>not specified</v>
      </c>
    </row>
    <row r="135" spans="1:19" ht="51.5" customHeight="1" x14ac:dyDescent="0.35">
      <c r="A135" s="9" t="str">
        <v>14-005</v>
      </c>
      <c r="B135" s="9" t="str">
        <v>Input</v>
      </c>
      <c r="C135" s="9" t="str">
        <v>Facilities and equipment</v>
      </c>
      <c r="D135" s="9" t="str">
        <v>Input - Facilities and equipment</v>
      </c>
      <c r="E135" s="9">
        <v>0</v>
      </c>
      <c r="F135" s="9" t="str">
        <v>x</v>
      </c>
      <c r="G135" s="9" t="str">
        <v>Biodiversity &amp; Ecosystems</v>
      </c>
      <c r="H135" s="9" t="str">
        <v>Environmental - Biodiversity &amp; Ecosystems</v>
      </c>
      <c r="I135" s="12" t="str">
        <v>Total nature-oriented area on site</v>
      </c>
      <c r="J135" s="9" t="str">
        <v>This indicator measures the nature-oriented area on site. A ‘nature-oriented' or green area is an area that primarily preserves or restores nature. Near natural/ green areas may be located on the organization’s site and may include roofs, facades, water drainage systems, or other features designed, adapted, or managed to promote biodiversity.</v>
      </c>
      <c r="K135" s="9" t="str">
        <v>Quantitative</v>
      </c>
      <c r="L135" s="9" t="str">
        <v>m²</v>
      </c>
      <c r="M135" s="9" t="str">
        <v>-</v>
      </c>
      <c r="N135" s="9">
        <v>1</v>
      </c>
      <c r="O135" s="9" t="str">
        <v>EMAS</v>
      </c>
      <c r="P135" s="9" t="str">
        <v>Factory</v>
      </c>
      <c r="Q135" s="9" t="str">
        <v>not specified</v>
      </c>
      <c r="R135" s="9" t="str">
        <v>not specified</v>
      </c>
      <c r="S135" s="9" t="str">
        <v>not specified</v>
      </c>
    </row>
    <row r="136" spans="1:19" ht="51.5" customHeight="1" x14ac:dyDescent="0.35">
      <c r="A136" s="9" t="str">
        <v>14-006</v>
      </c>
      <c r="B136" s="9" t="str">
        <v>Input</v>
      </c>
      <c r="C136" s="9" t="str">
        <v>Facilities and equipment</v>
      </c>
      <c r="D136" s="9" t="str">
        <v>Input - Facilities and equipment</v>
      </c>
      <c r="E136" s="9">
        <v>0</v>
      </c>
      <c r="F136" s="9" t="str">
        <v>x</v>
      </c>
      <c r="G136" s="9" t="str">
        <v>Biodiversity &amp; Ecosystems</v>
      </c>
      <c r="H136" s="9" t="str">
        <v>Environmental - Biodiversity &amp; Ecosystems</v>
      </c>
      <c r="I136" s="12" t="str">
        <v>Total nature-oriented area off site</v>
      </c>
      <c r="J136" s="9" t="str">
        <v>This indicator measures the nature-oriented area off-site. This is green area located off the organization's site if they are owned or managed by the organization and primarily serve to promote biodiversity; e.g., an orchard on company property.</v>
      </c>
      <c r="K136" s="9" t="str">
        <v>Quantitative</v>
      </c>
      <c r="L136" s="9" t="str">
        <v>m²</v>
      </c>
      <c r="M136" s="9" t="str">
        <v>-</v>
      </c>
      <c r="N136" s="9">
        <v>1</v>
      </c>
      <c r="O136" s="9" t="str">
        <v>EMAS</v>
      </c>
      <c r="P136" s="9" t="str">
        <v>Factory</v>
      </c>
      <c r="Q136" s="9" t="str">
        <v>not specified</v>
      </c>
      <c r="R136" s="9" t="str">
        <v>not specified</v>
      </c>
      <c r="S136" s="9" t="str">
        <v>not specified</v>
      </c>
    </row>
    <row r="137" spans="1:19" ht="51.5" customHeight="1" x14ac:dyDescent="0.35">
      <c r="A137" s="9" t="str">
        <v>14-007</v>
      </c>
      <c r="B137" s="9" t="str">
        <v>Input</v>
      </c>
      <c r="C137" s="9" t="str">
        <v>Facilities and equipment</v>
      </c>
      <c r="D137" s="9" t="str">
        <v>Input - Facilities and equipment</v>
      </c>
      <c r="E137" s="9">
        <v>0</v>
      </c>
      <c r="F137" s="9" t="str">
        <v>x</v>
      </c>
      <c r="G137" s="9" t="str">
        <v>Biodiversity &amp; Ecosystems</v>
      </c>
      <c r="H137" s="9" t="str">
        <v>Environmental - Biodiversity &amp; Ecosystems</v>
      </c>
      <c r="I137" s="12" t="str">
        <v>Facility utilization</v>
      </c>
      <c r="J137" s="9" t="str">
        <v>This indicator measures the facility space used for production to the total facility space.</v>
      </c>
      <c r="K137" s="9" t="str">
        <v>Quantitative</v>
      </c>
      <c r="L137" s="9" t="str">
        <v>%</v>
      </c>
      <c r="M137" s="9" t="str">
        <v>-</v>
      </c>
      <c r="N137" s="9">
        <v>1</v>
      </c>
      <c r="O137" s="9" t="str">
        <v>Park &amp; Kremer 2017</v>
      </c>
      <c r="P137" s="9" t="str">
        <v>Company</v>
      </c>
      <c r="Q137" s="9" t="str">
        <v>not specified</v>
      </c>
      <c r="R137" s="9" t="str">
        <v>not specified</v>
      </c>
      <c r="S137" s="9" t="str">
        <v>not specified</v>
      </c>
    </row>
    <row r="138" spans="1:19" ht="51.5" customHeight="1" x14ac:dyDescent="0.35">
      <c r="A138" s="9" t="str">
        <v>14-008</v>
      </c>
      <c r="B138" s="9" t="str">
        <v>Input</v>
      </c>
      <c r="C138" s="9" t="str">
        <v>Facilities and equipment</v>
      </c>
      <c r="D138" s="9" t="str">
        <v>Input - Facilities and equipment</v>
      </c>
      <c r="E138" s="9" t="str">
        <v>x</v>
      </c>
      <c r="F138" s="9">
        <v>0</v>
      </c>
      <c r="G138" s="9" t="str">
        <v>Cost</v>
      </c>
      <c r="H138" s="9" t="str">
        <v>Economic - Cost</v>
      </c>
      <c r="I138" s="12" t="str">
        <v>Facility cost</v>
      </c>
      <c r="J138" s="9" t="str">
        <v>This indicator measures the facility construction cost allocated to the parts processed over the facility's lifetime. In order to allocate the facility cost to each part processed over the facility's lifetime, the total facility cost is divided by the number of parts processed over the facility's lifetime.</v>
      </c>
      <c r="K138" s="9" t="str">
        <v>Quantitative</v>
      </c>
      <c r="L138" s="9" t="str">
        <v>€/UOP</v>
      </c>
      <c r="M138" s="9" t="str">
        <v>-</v>
      </c>
      <c r="N138" s="9">
        <v>1</v>
      </c>
      <c r="O138" s="9" t="str">
        <v>Gao et al. 2016</v>
      </c>
      <c r="P138" s="9" t="str">
        <v>Process</v>
      </c>
      <c r="Q138" s="9" t="str">
        <v>not specified</v>
      </c>
      <c r="R138" s="9" t="str">
        <v>Separating; Joining</v>
      </c>
      <c r="S138" s="9" t="str">
        <v>not specified</v>
      </c>
    </row>
    <row r="139" spans="1:19" ht="51.5" customHeight="1" x14ac:dyDescent="0.35">
      <c r="A139" s="9" t="str">
        <v>14-009</v>
      </c>
      <c r="B139" s="9" t="str">
        <v>Input</v>
      </c>
      <c r="C139" s="9" t="str">
        <v>Facilities and equipment</v>
      </c>
      <c r="D139" s="9" t="str">
        <v>Input - Facilities and equipment</v>
      </c>
      <c r="E139" s="9" t="str">
        <v>x</v>
      </c>
      <c r="F139" s="9">
        <v>0</v>
      </c>
      <c r="G139" s="9" t="str">
        <v>Cost</v>
      </c>
      <c r="H139" s="9" t="str">
        <v>Economic - Cost</v>
      </c>
      <c r="I139" s="12" t="str">
        <v>Facility depreciation cost</v>
      </c>
      <c r="J139" s="9" t="str">
        <v>This indicator measures the facility depreciation cost.</v>
      </c>
      <c r="K139" s="9" t="str">
        <v>Quantitative</v>
      </c>
      <c r="L139" s="9" t="str">
        <v>€</v>
      </c>
      <c r="M139" s="9" t="str">
        <v>-</v>
      </c>
      <c r="N139" s="9">
        <v>1</v>
      </c>
      <c r="O139" s="9" t="str">
        <v>Swarnakar et al. 2022</v>
      </c>
      <c r="P139" s="9" t="str">
        <v>Process</v>
      </c>
      <c r="Q139" s="9" t="str">
        <v>not specified</v>
      </c>
      <c r="R139" s="9" t="str">
        <v>not specified</v>
      </c>
      <c r="S139" s="9" t="str">
        <v>not specified</v>
      </c>
    </row>
    <row r="140" spans="1:19" ht="51.5" customHeight="1" x14ac:dyDescent="0.35">
      <c r="A140" s="9" t="str">
        <v>14-010</v>
      </c>
      <c r="B140" s="9" t="str">
        <v>Input</v>
      </c>
      <c r="C140" s="9" t="str">
        <v>Facilities and equipment</v>
      </c>
      <c r="D140" s="9" t="str">
        <v>Input - Facilities and equipment</v>
      </c>
      <c r="E140" s="9" t="str">
        <v>x</v>
      </c>
      <c r="F140" s="9">
        <v>0</v>
      </c>
      <c r="G140" s="9" t="str">
        <v>Cost</v>
      </c>
      <c r="H140" s="9" t="str">
        <v>Economic - Cost</v>
      </c>
      <c r="I140" s="12" t="str">
        <v>Equipment cost</v>
      </c>
      <c r="J140" s="9" t="str">
        <v>This indicator measures the cost of equipment, including personal protective equipment, jigs, and fixtures.</v>
      </c>
      <c r="K140" s="9" t="str">
        <v>Quantitative</v>
      </c>
      <c r="L140" s="9" t="str">
        <v>€</v>
      </c>
      <c r="M140" s="9" t="str">
        <v>-</v>
      </c>
      <c r="N140" s="9">
        <v>2</v>
      </c>
      <c r="O140" s="9" t="str">
        <v>Huang &amp; Badurdeen 2018; Linke et al. 2013</v>
      </c>
      <c r="P140" s="9" t="str">
        <v>Factory; Production line; Process</v>
      </c>
      <c r="Q140" s="9" t="str">
        <v>25 Manufacture of fabricated metal products, except machinery and equipment; 26 Manufacture of computer, electronic and optical products</v>
      </c>
      <c r="R140" s="9" t="str">
        <v>Original forming; Separating; Joining; Coating and finishing; Change of material properties</v>
      </c>
      <c r="S140" s="9" t="str">
        <v>not specified</v>
      </c>
    </row>
    <row r="141" spans="1:19" ht="51.5" customHeight="1" x14ac:dyDescent="0.35">
      <c r="A141" s="9" t="str">
        <v>14-011</v>
      </c>
      <c r="B141" s="9" t="str">
        <v>Input</v>
      </c>
      <c r="C141" s="9" t="str">
        <v>Facilities and equipment</v>
      </c>
      <c r="D141" s="9" t="str">
        <v>Input - Facilities and equipment</v>
      </c>
      <c r="E141" s="9" t="str">
        <v>x</v>
      </c>
      <c r="F141" s="9">
        <v>0</v>
      </c>
      <c r="G141" s="9" t="str">
        <v>Cost</v>
      </c>
      <c r="H141" s="9" t="str">
        <v>Economic - Cost</v>
      </c>
      <c r="I141" s="12" t="str">
        <v>Equipment operating cost</v>
      </c>
      <c r="J141" s="9" t="str">
        <v>This indicator measures the expenses which are related to the operation of equipment. It includes costs such as the salaries of workers to operate the equipment, raw materials, power costs (fuel), consumables, maintenance, and repair. It can also include costs that are associated with ongoing digital platform development and maintenance.</v>
      </c>
      <c r="K141" s="9" t="str">
        <v>Quantitative</v>
      </c>
      <c r="L141" s="9" t="str">
        <v>€</v>
      </c>
      <c r="M141" s="9" t="str">
        <v>-</v>
      </c>
      <c r="N141" s="9">
        <v>1</v>
      </c>
      <c r="O141" s="9" t="str">
        <v>Kravchenko et al. 2019</v>
      </c>
      <c r="P141" s="9" t="str">
        <v>Company</v>
      </c>
      <c r="Q141" s="9" t="str">
        <v>13 Manufacture of textiles; 28 Manufacture of machinery and equipment n.e.c.; 31 Manufacture of furniture</v>
      </c>
      <c r="R141" s="9" t="str">
        <v>not specified</v>
      </c>
      <c r="S141" s="9" t="str">
        <v>Micro; Large</v>
      </c>
    </row>
    <row r="142" spans="1:19" ht="51.5" customHeight="1" x14ac:dyDescent="0.35">
      <c r="A142" s="9" t="str">
        <v>14-012</v>
      </c>
      <c r="B142" s="9" t="str">
        <v>Input</v>
      </c>
      <c r="C142" s="9" t="str">
        <v>Facilities and equipment</v>
      </c>
      <c r="D142" s="9" t="str">
        <v>Input - Facilities and equipment</v>
      </c>
      <c r="E142" s="9" t="str">
        <v>x</v>
      </c>
      <c r="F142" s="9">
        <v>0</v>
      </c>
      <c r="G142" s="9" t="str">
        <v>Cost</v>
      </c>
      <c r="H142" s="9" t="str">
        <v>Economic - Cost</v>
      </c>
      <c r="I142" s="12" t="str">
        <v>Machine and Equipment Depreciation Cost</v>
      </c>
      <c r="J142" s="9" t="str">
        <v>This indicator measures the depreciation cost of machines and equipment.</v>
      </c>
      <c r="K142" s="9" t="str">
        <v>Quantitative</v>
      </c>
      <c r="L142" s="9" t="str">
        <v>€</v>
      </c>
      <c r="M142" s="9" t="str">
        <v>-</v>
      </c>
      <c r="N142" s="9">
        <v>1</v>
      </c>
      <c r="O142" s="9" t="str">
        <v>Swarnakar et al. 2021</v>
      </c>
      <c r="P142" s="9" t="str">
        <v>Process</v>
      </c>
      <c r="Q142" s="9" t="str">
        <v>28 Manufacture of machinery and equipment n.e.c.; 29 Manufacture of motor vehicles, trailers and semi-trailers</v>
      </c>
      <c r="R142" s="9" t="str">
        <v>Transforming; Separating; Coating and finishing; Change of material properties</v>
      </c>
      <c r="S142" s="9" t="str">
        <v>not specified</v>
      </c>
    </row>
    <row r="143" spans="1:19" ht="51.5" customHeight="1" x14ac:dyDescent="0.35">
      <c r="A143" s="9" t="str">
        <v>14-013</v>
      </c>
      <c r="B143" s="9" t="str">
        <v>Input</v>
      </c>
      <c r="C143" s="9" t="str">
        <v>Facilities and equipment</v>
      </c>
      <c r="D143" s="9" t="str">
        <v>Input - Facilities and equipment</v>
      </c>
      <c r="E143" s="9" t="str">
        <v>x</v>
      </c>
      <c r="F143" s="9">
        <v>0</v>
      </c>
      <c r="G143" s="9" t="str">
        <v>Other</v>
      </c>
      <c r="H143" s="9" t="str">
        <v>Economic - Other</v>
      </c>
      <c r="I143" s="12" t="str">
        <v>Overall equipment effectiveness</v>
      </c>
      <c r="J143" s="9" t="str">
        <v>This indicator measures the effectiveness of the equipment in manufacturing a product. It is calculated as the product of machine availability, machine performance, and acceptance rate of the product (Availability x Performance x Quality).</v>
      </c>
      <c r="K143" s="9" t="str">
        <v>Quantitative</v>
      </c>
      <c r="L143" s="9" t="str">
        <v>%</v>
      </c>
      <c r="M143" s="9" t="str">
        <v>-</v>
      </c>
      <c r="N143" s="9">
        <v>5</v>
      </c>
      <c r="O143" s="9" t="str">
        <v>Kravchenko et al. 2019; Pinto et al. 2020; Swarnakar et al. 2021; Swarnakar et al. 2022; Winroth et al. 2016</v>
      </c>
      <c r="P143" s="9" t="str">
        <v>Company; Factory; Process</v>
      </c>
      <c r="Q143" s="9" t="str">
        <v>13 Manufacture of textiles; 28 Manufacture of machinery and equipment n.e.c.; 29 Manufacture of motor vehicles, trailers and semi-trailers; 31 Manufacture of furniture; not specified</v>
      </c>
      <c r="R143" s="9" t="str">
        <v>Transforming; Separating; Coating and finishing; Change of material properties; not specified</v>
      </c>
      <c r="S143" s="9" t="str">
        <v>Micro; Small; Medium; Large; not specified</v>
      </c>
    </row>
    <row r="144" spans="1:19" ht="51.5" customHeight="1" x14ac:dyDescent="0.35">
      <c r="A144" s="9" t="str">
        <v>14-014</v>
      </c>
      <c r="B144" s="9" t="str">
        <v>Input</v>
      </c>
      <c r="C144" s="9" t="str">
        <v>Facilities and equipment</v>
      </c>
      <c r="D144" s="9" t="str">
        <v>Input - Facilities and equipment</v>
      </c>
      <c r="E144" s="9">
        <v>0</v>
      </c>
      <c r="F144" s="9" t="str">
        <v>x</v>
      </c>
      <c r="G144" s="9" t="str">
        <v>Other</v>
      </c>
      <c r="H144" s="9" t="str">
        <v>Environmental - Other</v>
      </c>
      <c r="I144" s="12" t="str">
        <v>Operation time</v>
      </c>
      <c r="J144" s="9" t="str">
        <v>This indicator measures the time a specific piece of equipment is in operation.</v>
      </c>
      <c r="K144" s="9" t="str">
        <v>Quantitative</v>
      </c>
      <c r="L144" s="9" t="str">
        <v>unit of time</v>
      </c>
      <c r="M144" s="9" t="str">
        <v>-</v>
      </c>
      <c r="N144" s="9">
        <v>1</v>
      </c>
      <c r="O144" s="9" t="str">
        <v>ISO14031</v>
      </c>
      <c r="P144" s="9" t="str">
        <v>Company; Factory</v>
      </c>
      <c r="Q144" s="9" t="str">
        <v>not specified</v>
      </c>
      <c r="R144" s="9" t="str">
        <v>not specified</v>
      </c>
      <c r="S144" s="9" t="str">
        <v>not specified</v>
      </c>
    </row>
    <row r="145" spans="1:19" ht="51.5" customHeight="1" x14ac:dyDescent="0.35">
      <c r="A145" s="9" t="str">
        <v>14-015</v>
      </c>
      <c r="B145" s="9" t="str">
        <v>Input</v>
      </c>
      <c r="C145" s="9" t="str">
        <v>Facilities and equipment</v>
      </c>
      <c r="D145" s="9" t="str">
        <v>Input - Facilities and equipment</v>
      </c>
      <c r="E145" s="9">
        <v>0</v>
      </c>
      <c r="F145" s="9" t="str">
        <v>x</v>
      </c>
      <c r="G145" s="9" t="str">
        <v>Climate Change</v>
      </c>
      <c r="H145" s="9" t="str">
        <v>Environmental - Climate Change</v>
      </c>
      <c r="I145" s="12" t="str">
        <v>Machinery with efficient energy consumption</v>
      </c>
      <c r="J145" s="9" t="str">
        <v>This indicator measures the number of machines and equipment with efficient energy consumption to the total number of machines and equipment.</v>
      </c>
      <c r="K145" s="9" t="str">
        <v>Quantiative</v>
      </c>
      <c r="L145" s="9" t="str">
        <v>%</v>
      </c>
      <c r="M145" s="9" t="str">
        <v>-</v>
      </c>
      <c r="N145" s="9">
        <v>1</v>
      </c>
      <c r="O145" s="9" t="str">
        <v>Feil et al. 2017</v>
      </c>
      <c r="P145" s="9" t="str">
        <v>Company</v>
      </c>
      <c r="Q145" s="9" t="str">
        <v>31 Manufacture of furniture</v>
      </c>
      <c r="R145" s="9" t="str">
        <v>not specified</v>
      </c>
      <c r="S145" s="9" t="str">
        <v>Micro; Small; Medium</v>
      </c>
    </row>
    <row r="146" spans="1:19" ht="51.5" customHeight="1" x14ac:dyDescent="0.35">
      <c r="A146" s="9" t="str">
        <v>14-016</v>
      </c>
      <c r="B146" s="9" t="str">
        <v>Input</v>
      </c>
      <c r="C146" s="9" t="str">
        <v>Facilities and equipment</v>
      </c>
      <c r="D146" s="9" t="str">
        <v>Input - Facilities and equipment</v>
      </c>
      <c r="E146" s="9">
        <v>0</v>
      </c>
      <c r="F146" s="9" t="str">
        <v>x</v>
      </c>
      <c r="G146" s="9" t="str">
        <v>Pollution</v>
      </c>
      <c r="H146" s="9" t="str">
        <v>Environmental - Pollution</v>
      </c>
      <c r="I146" s="12" t="str">
        <v>Use of air filter system</v>
      </c>
      <c r="J146" s="9" t="str">
        <v>This indicator queries if a factory uses a ventilation system with filters for airborne particles and gases.</v>
      </c>
      <c r="K146" s="9" t="str">
        <v>Qualitative</v>
      </c>
      <c r="L146" s="9" t="str">
        <v>descriptive</v>
      </c>
      <c r="M146" s="9" t="str">
        <v>-</v>
      </c>
      <c r="N146" s="9">
        <v>1</v>
      </c>
      <c r="O146" s="9" t="str">
        <v>Feil et al. 2017</v>
      </c>
      <c r="P146" s="9" t="str">
        <v>Company</v>
      </c>
      <c r="Q146" s="9" t="str">
        <v>31 Manufacture of furniture</v>
      </c>
      <c r="R146" s="9" t="str">
        <v>not specified</v>
      </c>
      <c r="S146" s="9" t="str">
        <v>Micro; Small; Medium</v>
      </c>
    </row>
    <row r="147" spans="1:19" ht="51.5" customHeight="1" x14ac:dyDescent="0.35">
      <c r="A147" s="9" t="str">
        <v>14-017</v>
      </c>
      <c r="B147" s="9" t="str">
        <v>Input</v>
      </c>
      <c r="C147" s="9" t="str">
        <v>Facilities and equipment</v>
      </c>
      <c r="D147" s="9" t="str">
        <v>Input - Facilities and equipment</v>
      </c>
      <c r="E147" s="9">
        <v>0</v>
      </c>
      <c r="F147" s="9" t="str">
        <v>x</v>
      </c>
      <c r="G147" s="9" t="str">
        <v>Resource Use &amp; Circular Economy</v>
      </c>
      <c r="H147" s="9" t="str">
        <v>Environmental - Resource Use &amp; Circular Economy</v>
      </c>
      <c r="I147" s="12" t="str">
        <v>Pieces of equipment with parts designed for easy disassembly, recycling and reuse</v>
      </c>
      <c r="J147" s="9" t="str">
        <v>This indicator measures the percentage of total pieces of equipment with parts designed for easy disassembly, recycling, and reuse.</v>
      </c>
      <c r="K147" s="9" t="str">
        <v>Quantitative</v>
      </c>
      <c r="L147" s="9" t="str">
        <v>%</v>
      </c>
      <c r="M147" s="9" t="str">
        <v>-</v>
      </c>
      <c r="N147" s="9">
        <v>1</v>
      </c>
      <c r="O147" s="9" t="str">
        <v>ISO14031</v>
      </c>
      <c r="P147" s="9" t="str">
        <v>Company; Factory</v>
      </c>
      <c r="Q147" s="9" t="str">
        <v>not specified</v>
      </c>
      <c r="R147" s="9" t="str">
        <v>not specified</v>
      </c>
      <c r="S147" s="9" t="str">
        <v>not specified</v>
      </c>
    </row>
    <row r="148" spans="1:19" ht="51.5" customHeight="1" x14ac:dyDescent="0.35">
      <c r="A148" s="9" t="str">
        <v>14-018</v>
      </c>
      <c r="B148" s="9" t="str">
        <v>Input</v>
      </c>
      <c r="C148" s="9" t="str">
        <v>Facilities and equipment</v>
      </c>
      <c r="D148" s="9" t="str">
        <v>Input - Facilities and equipment</v>
      </c>
      <c r="E148" s="9" t="str">
        <v>x</v>
      </c>
      <c r="F148" s="9">
        <v>0</v>
      </c>
      <c r="G148" s="9" t="str">
        <v>Other</v>
      </c>
      <c r="H148" s="9" t="str">
        <v>Economic - Other</v>
      </c>
      <c r="I148" s="12" t="str">
        <v>Use machinery and equipment with compatible signals and displays</v>
      </c>
      <c r="J148" s="9" t="str">
        <v>This indicator describes how signals and displays are easily accessible and understandable by the employees, which will improve their efficiency.</v>
      </c>
      <c r="K148" s="9" t="str">
        <v>Qualitative</v>
      </c>
      <c r="L148" s="9" t="str">
        <v>descriptive</v>
      </c>
      <c r="M148" s="9" t="str">
        <v>-</v>
      </c>
      <c r="N148" s="9">
        <v>1</v>
      </c>
      <c r="O148" s="9" t="str">
        <v>Lin et al. 2020</v>
      </c>
      <c r="P148" s="9" t="str">
        <v>Process</v>
      </c>
      <c r="Q148" s="9" t="str">
        <v>not specified</v>
      </c>
      <c r="R148" s="9" t="str">
        <v>not specified</v>
      </c>
      <c r="S148" s="9" t="str">
        <v>not specified</v>
      </c>
    </row>
    <row r="149" spans="1:19" ht="51.5" customHeight="1" x14ac:dyDescent="0.35">
      <c r="A149" s="9" t="str">
        <v>14-019</v>
      </c>
      <c r="B149" s="9" t="str">
        <v>Input</v>
      </c>
      <c r="C149" s="9" t="str">
        <v>Facilities and equipment</v>
      </c>
      <c r="D149" s="9" t="str">
        <v>Input - Facilities and equipment</v>
      </c>
      <c r="E149" s="9">
        <v>0</v>
      </c>
      <c r="F149" s="9" t="str">
        <v>x</v>
      </c>
      <c r="G149" s="9" t="str">
        <v>Other</v>
      </c>
      <c r="H149" s="9" t="str">
        <v>Environmental - Other</v>
      </c>
      <c r="I149" s="12" t="str">
        <v>Emergency events or non-routine operations</v>
      </c>
      <c r="J149" s="9" t="str">
        <v>This indicator measures the number of emergency events (e.g., explosions) or non-routine operations (e.g., shutdowns).</v>
      </c>
      <c r="K149" s="9" t="str">
        <v>Quantitative</v>
      </c>
      <c r="L149" s="9" t="str">
        <v>#</v>
      </c>
      <c r="M149" s="9" t="str">
        <v>-</v>
      </c>
      <c r="N149" s="9">
        <v>1</v>
      </c>
      <c r="O149" s="9" t="str">
        <v>ISO14031</v>
      </c>
      <c r="P149" s="9" t="str">
        <v>Company; Factory</v>
      </c>
      <c r="Q149" s="9" t="str">
        <v>not specified</v>
      </c>
      <c r="R149" s="9" t="str">
        <v>not specified</v>
      </c>
      <c r="S149" s="9" t="str">
        <v>not specified</v>
      </c>
    </row>
    <row r="150" spans="1:19" ht="51.5" customHeight="1" x14ac:dyDescent="0.35">
      <c r="A150" s="9" t="str">
        <v>14-020</v>
      </c>
      <c r="B150" s="9" t="str">
        <v>Input</v>
      </c>
      <c r="C150" s="9" t="str">
        <v>Facilities and equipment</v>
      </c>
      <c r="D150" s="9" t="str">
        <v>Input - Facilities and equipment</v>
      </c>
      <c r="E150" s="9">
        <v>0</v>
      </c>
      <c r="F150" s="9" t="str">
        <v>x</v>
      </c>
      <c r="G150" s="9" t="str">
        <v>Climate Change</v>
      </c>
      <c r="H150" s="9" t="str">
        <v>Environmental - Climate Change</v>
      </c>
      <c r="I150" s="12" t="str">
        <v>Carbon dioxide equivalent per unit driven</v>
      </c>
      <c r="J150" s="9" t="str">
        <v>This indicator measures the CO2 equivalent per unit driven.</v>
      </c>
      <c r="K150" s="9" t="str">
        <v>Quantitative</v>
      </c>
      <c r="L150" s="9" t="str">
        <v>CO2-eq/UOP</v>
      </c>
      <c r="M150" s="9" t="str">
        <v>-</v>
      </c>
      <c r="N150" s="9">
        <v>1</v>
      </c>
      <c r="O150" s="9" t="str">
        <v>ISO14031</v>
      </c>
      <c r="P150" s="9" t="str">
        <v>Company; Factory</v>
      </c>
      <c r="Q150" s="9" t="str">
        <v>not specified</v>
      </c>
      <c r="R150" s="9" t="str">
        <v>not specified</v>
      </c>
      <c r="S150" s="9" t="str">
        <v>not specified</v>
      </c>
    </row>
    <row r="151" spans="1:19" ht="51.5" customHeight="1" x14ac:dyDescent="0.35">
      <c r="A151" s="9" t="str">
        <v>14-021</v>
      </c>
      <c r="B151" s="9" t="str">
        <v>Input</v>
      </c>
      <c r="C151" s="9" t="str">
        <v>Facilities and equipment</v>
      </c>
      <c r="D151" s="9" t="str">
        <v>Input - Facilities and equipment</v>
      </c>
      <c r="E151" s="9">
        <v>0</v>
      </c>
      <c r="F151" s="9" t="str">
        <v>x</v>
      </c>
      <c r="G151" s="9" t="str">
        <v>Resource Use &amp; Circular Economy</v>
      </c>
      <c r="H151" s="9" t="str">
        <v>Environmental - Resource Use &amp; Circular Economy</v>
      </c>
      <c r="I151" s="12" t="str">
        <v>Cutting tool consumption</v>
      </c>
      <c r="J151" s="9" t="str">
        <v>This indicator measures the total weight or number of cutting tools consumed.</v>
      </c>
      <c r="K151" s="9" t="str">
        <v>Quantitative</v>
      </c>
      <c r="L151" s="9" t="str">
        <v>kg or #</v>
      </c>
      <c r="M151" s="9" t="str">
        <v>-</v>
      </c>
      <c r="N151" s="9">
        <v>2</v>
      </c>
      <c r="O151" s="9" t="str">
        <v>Jiang et al. 2012; Lucato et al. 2018</v>
      </c>
      <c r="P151" s="9" t="str">
        <v>Process</v>
      </c>
      <c r="Q151" s="9" t="str">
        <v>25 Manufacture of fabricated metal products, except machinery and equipment; not specified</v>
      </c>
      <c r="R151" s="9" t="str">
        <v>Separating</v>
      </c>
      <c r="S151" s="9" t="str">
        <v>not specified</v>
      </c>
    </row>
    <row r="152" spans="1:19" ht="51.5" customHeight="1" x14ac:dyDescent="0.35">
      <c r="A152" s="9" t="str">
        <v>14-022</v>
      </c>
      <c r="B152" s="9" t="str">
        <v>Input</v>
      </c>
      <c r="C152" s="9" t="str">
        <v>Facilities and equipment</v>
      </c>
      <c r="D152" s="9" t="str">
        <v>Input - Facilities and equipment</v>
      </c>
      <c r="E152" s="9" t="str">
        <v>x</v>
      </c>
      <c r="F152" s="9">
        <v>0</v>
      </c>
      <c r="G152" s="9" t="str">
        <v>Cost</v>
      </c>
      <c r="H152" s="9" t="str">
        <v>Economic - Cost</v>
      </c>
      <c r="I152" s="12" t="str">
        <v>Tool cost</v>
      </c>
      <c r="J152" s="9" t="str">
        <v>This indicator measures the costs of tools.</v>
      </c>
      <c r="K152" s="9" t="str">
        <v>Quantitative</v>
      </c>
      <c r="L152" s="9" t="str">
        <v>€</v>
      </c>
      <c r="M152" s="9" t="str">
        <v>-</v>
      </c>
      <c r="N152" s="9">
        <v>3</v>
      </c>
      <c r="O152" s="9" t="str">
        <v>Gao et al. 2016; Huang &amp; Badurdeen 2018; Zhang &amp; Haapala 2015</v>
      </c>
      <c r="P152" s="9" t="str">
        <v>Factory; Production line; Work cell; Process</v>
      </c>
      <c r="Q152" s="9" t="str">
        <v>25 Manufacture of fabricated metal products, except machinery and equipment; 26 Manufacture of computer, electronic and optical products; not specified</v>
      </c>
      <c r="R152" s="9" t="str">
        <v>Original forming; Separating; Joining; Coating and finishing; Change of material properties</v>
      </c>
      <c r="S152" s="9" t="str">
        <v>not specified</v>
      </c>
    </row>
    <row r="153" spans="1:19" ht="51.5" customHeight="1" x14ac:dyDescent="0.35">
      <c r="A153" s="9" t="str">
        <v>15-001</v>
      </c>
      <c r="B153" s="9" t="str">
        <v>Input</v>
      </c>
      <c r="C153" s="9" t="str">
        <v>Labor</v>
      </c>
      <c r="D153" s="9" t="str">
        <v>Input - Labor</v>
      </c>
      <c r="E153" s="9" t="str">
        <v>x</v>
      </c>
      <c r="F153" s="9">
        <v>0</v>
      </c>
      <c r="G153" s="9" t="str">
        <v>Other</v>
      </c>
      <c r="H153" s="9" t="str">
        <v>Economic - Other</v>
      </c>
      <c r="I153" s="12" t="str">
        <v>Number of employees</v>
      </c>
      <c r="J153" s="9" t="str">
        <v>This indicator measures the total number of employees.</v>
      </c>
      <c r="K153" s="9" t="str">
        <v>Quantitative</v>
      </c>
      <c r="L153" s="9" t="str">
        <v>#</v>
      </c>
      <c r="M153" s="9" t="str">
        <v>-</v>
      </c>
      <c r="N153" s="9">
        <v>2</v>
      </c>
      <c r="O153" s="9" t="str">
        <v>Azapagic &amp; Perdan 2000; Salvado et al. 2015</v>
      </c>
      <c r="P153" s="9" t="str">
        <v>Company</v>
      </c>
      <c r="Q153" s="9" t="str">
        <v>29 Manufacture of motor vehicles, trailers and semi-trailers; not specified</v>
      </c>
      <c r="R153" s="9" t="str">
        <v>not specified</v>
      </c>
      <c r="S153" s="9" t="str">
        <v>Large; not specified</v>
      </c>
    </row>
    <row r="154" spans="1:19" ht="51.5" customHeight="1" x14ac:dyDescent="0.35">
      <c r="A154" s="9" t="str">
        <v>15-002</v>
      </c>
      <c r="B154" s="9" t="str">
        <v>Input</v>
      </c>
      <c r="C154" s="9" t="str">
        <v>Labor</v>
      </c>
      <c r="D154" s="9" t="str">
        <v>Input - Labor</v>
      </c>
      <c r="E154" s="9" t="str">
        <v>x</v>
      </c>
      <c r="F154" s="9">
        <v>0</v>
      </c>
      <c r="G154" s="9" t="str">
        <v>Other</v>
      </c>
      <c r="H154" s="9" t="str">
        <v>Economic - Other</v>
      </c>
      <c r="I154" s="12" t="str">
        <v>Staff turnover</v>
      </c>
      <c r="J154" s="9" t="str">
        <v>This indicator measures the ratio of the number of new employees to the number of employees made redundant.</v>
      </c>
      <c r="K154" s="9" t="str">
        <v>Quantitative</v>
      </c>
      <c r="L154" s="9" t="str">
        <v>%</v>
      </c>
      <c r="M154" s="9" t="str">
        <v>-</v>
      </c>
      <c r="N154" s="9">
        <v>1</v>
      </c>
      <c r="O154" s="9" t="str">
        <v>Azapagic &amp; Perdan 2000</v>
      </c>
      <c r="P154" s="9" t="str">
        <v>Company</v>
      </c>
      <c r="Q154" s="9" t="str">
        <v>not specified</v>
      </c>
      <c r="R154" s="9" t="str">
        <v>not specified</v>
      </c>
      <c r="S154" s="9" t="str">
        <v>not specified</v>
      </c>
    </row>
    <row r="155" spans="1:19" ht="51.5" customHeight="1" x14ac:dyDescent="0.35">
      <c r="A155" s="9" t="str">
        <v>15-003</v>
      </c>
      <c r="B155" s="9" t="str">
        <v>Input</v>
      </c>
      <c r="C155" s="9" t="str">
        <v>Labor</v>
      </c>
      <c r="D155" s="9" t="str">
        <v>Input - Labor</v>
      </c>
      <c r="E155" s="9" t="str">
        <v>x</v>
      </c>
      <c r="F155" s="9">
        <v>0</v>
      </c>
      <c r="G155" s="9" t="str">
        <v>Cost</v>
      </c>
      <c r="H155" s="9" t="str">
        <v>Economic - Cost</v>
      </c>
      <c r="I155" s="12" t="str">
        <v>Labor cost</v>
      </c>
      <c r="J155" s="9" t="str">
        <v>This indicator measures the total labor costs (can include wages and benefits).</v>
      </c>
      <c r="K155" s="9" t="str">
        <v>Quantitative</v>
      </c>
      <c r="L155" s="9" t="str">
        <v>€</v>
      </c>
      <c r="M155" s="9" t="str">
        <v>-</v>
      </c>
      <c r="N155" s="9">
        <v>21</v>
      </c>
      <c r="O155" s="9" t="str">
        <v>Akbar &amp; Irohara 2018; Amrina &amp; Vilsi 2015; Amrina &amp; Yusof 2011; Cagno et al. 2019; Cagno et al. 2023; Dočekalová &amp; Kocmanová 2016; Faulkner &amp; Badurdeen 2014; Feil et al. 2019; Gao et al. 2016; Huang &amp; Badurdeen 2017; Kaldas et al. 2021; Kravchenko et al. 2019; Lucato et al. 2018; Mengistu &amp; Panizzolo 2021; Mengistu &amp; Panizzolo 2023a; Mengistu &amp; Panizzolo 2023b; Saad et al. 2021; Swarnakar et al. 2021; Swarnakar et al. 2022; Winroth et al. 2016; Zhang &amp; Haapala 2015</v>
      </c>
      <c r="P155" s="9" t="str">
        <v>Company; Factory; Production line; Work cell; Process</v>
      </c>
      <c r="Q155" s="9" t="str">
        <v>13 Manufacture of textiles; 15 Manufacture of leather and related products; 23 Manufacture of other non-metallic mineral products; 24 Manufacture of basic metals; 25 Manufacture of fabricated metal products, except machinery and equipment; 26 Manufacture of computer, electronic and optical products; 27 Manufacture of electrical equipment; 28 Manufacture of machinery and equipment n.e.c.; 29 Manufacture of motor vehicles, trailers and semi-trailers; 31 Manufacture of furniture; not specified</v>
      </c>
      <c r="R155" s="9" t="str">
        <v>Original forming; Transforming; Separating; Joining; Coating and finishing; Change of material properties; not specified</v>
      </c>
      <c r="S155" s="9" t="str">
        <v>Micro; Small; Medium; Large; not specified</v>
      </c>
    </row>
    <row r="156" spans="1:19" ht="51.5" customHeight="1" x14ac:dyDescent="0.35">
      <c r="A156" s="9" t="str">
        <v>15-004</v>
      </c>
      <c r="B156" s="9" t="str">
        <v>Input</v>
      </c>
      <c r="C156" s="9" t="str">
        <v>Labor</v>
      </c>
      <c r="D156" s="9" t="str">
        <v>Input - Labor</v>
      </c>
      <c r="E156" s="9" t="str">
        <v>x</v>
      </c>
      <c r="F156" s="9">
        <v>0</v>
      </c>
      <c r="G156" s="9" t="str">
        <v>Cost</v>
      </c>
      <c r="H156" s="9" t="str">
        <v>Economic - Cost</v>
      </c>
      <c r="I156" s="12" t="str">
        <v>Administrative costs</v>
      </c>
      <c r="J156" s="9" t="str">
        <v>This indicator measures the administrative costs, e.g., for administrative personnel and indirect material.</v>
      </c>
      <c r="K156" s="9" t="str">
        <v>Quantitative</v>
      </c>
      <c r="L156" s="9" t="str">
        <v>€</v>
      </c>
      <c r="M156" s="9" t="str">
        <v>-</v>
      </c>
      <c r="N156" s="9">
        <v>3</v>
      </c>
      <c r="O156" s="9" t="str">
        <v>Lee &amp; Farzipoor Saen 2012; Swarnakar et al. 2021; Swarnakar et al. 2022</v>
      </c>
      <c r="P156" s="9" t="str">
        <v>Company; Process</v>
      </c>
      <c r="Q156" s="9" t="str">
        <v>24 Manufacture of basic metals; 26 Manufacture of computer, electronic and optical products; 28 Manufacture of machinery and equipment n.e.c.; 29 Manufacture of motor vehicles, trailers and semi-trailers; not specified</v>
      </c>
      <c r="R156" s="9" t="str">
        <v>Transforming; Separating; Coating and finishing; Change of material properties; not specified</v>
      </c>
      <c r="S156" s="9" t="str">
        <v>Large; not specified</v>
      </c>
    </row>
    <row r="157" spans="1:19" ht="51.5" customHeight="1" x14ac:dyDescent="0.35">
      <c r="A157" s="9" t="str">
        <v>15-005</v>
      </c>
      <c r="B157" s="9" t="str">
        <v>Input</v>
      </c>
      <c r="C157" s="9" t="str">
        <v>Labor</v>
      </c>
      <c r="D157" s="9" t="str">
        <v>Input - Labor</v>
      </c>
      <c r="E157" s="9" t="str">
        <v>x</v>
      </c>
      <c r="F157" s="9">
        <v>0</v>
      </c>
      <c r="G157" s="9" t="str">
        <v>Cost</v>
      </c>
      <c r="H157" s="9" t="str">
        <v>Economic - Cost</v>
      </c>
      <c r="I157" s="12" t="str">
        <v>Labor cost for production</v>
      </c>
      <c r="J157" s="9" t="str">
        <v>This indicator measures the direct labor costs, i.e., for the operators.</v>
      </c>
      <c r="K157" s="9" t="str">
        <v>Quantitative</v>
      </c>
      <c r="L157" s="9" t="str">
        <v>€</v>
      </c>
      <c r="M157" s="9" t="str">
        <v>-</v>
      </c>
      <c r="N157" s="9">
        <v>2</v>
      </c>
      <c r="O157" s="9" t="str">
        <v>Huang &amp; Badurdeen 2018; Tan et al. 2015</v>
      </c>
      <c r="P157" s="9" t="str">
        <v>Company; Factory; Production line</v>
      </c>
      <c r="Q157" s="9" t="str">
        <v>26 Manufacture of computer, electronic and optical products; not specified</v>
      </c>
      <c r="R157" s="9" t="str">
        <v>Original forming; Joining; Coating and finishing; Change of material properties; not specified</v>
      </c>
      <c r="S157" s="9" t="str">
        <v>Small; Medium; not specified</v>
      </c>
    </row>
    <row r="158" spans="1:19" ht="51.5" customHeight="1" x14ac:dyDescent="0.35">
      <c r="A158" s="9" t="str">
        <v>15-006</v>
      </c>
      <c r="B158" s="9" t="str">
        <v>Input</v>
      </c>
      <c r="C158" s="9" t="str">
        <v>Labor</v>
      </c>
      <c r="D158" s="9" t="str">
        <v>Input - Labor</v>
      </c>
      <c r="E158" s="9" t="str">
        <v>x</v>
      </c>
      <c r="F158" s="9">
        <v>0</v>
      </c>
      <c r="G158" s="9" t="str">
        <v>Cost</v>
      </c>
      <c r="H158" s="9" t="str">
        <v>Economic - Cost</v>
      </c>
      <c r="I158" s="12" t="str">
        <v>Indirect labor cost</v>
      </c>
      <c r="J158" s="9" t="str">
        <v>This indicator measures the indirect labor costs, e.g., for maintenance, cleaning, and material handling.</v>
      </c>
      <c r="K158" s="9" t="str">
        <v>Quantitative</v>
      </c>
      <c r="L158" s="9" t="str">
        <v>€</v>
      </c>
      <c r="M158" s="9" t="str">
        <v>-</v>
      </c>
      <c r="N158" s="9">
        <v>2</v>
      </c>
      <c r="O158" s="9" t="str">
        <v>Faulkner &amp; Badurdeen 2014; Huang &amp; Badurdeen 2018</v>
      </c>
      <c r="P158" s="9" t="str">
        <v>Factory; Production line; Process</v>
      </c>
      <c r="Q158" s="9" t="str">
        <v>26 Manufacture of computer, electronic and optical products</v>
      </c>
      <c r="R158" s="9" t="str">
        <v>Original forming; Joining; Coating and finishing; Change of material properties</v>
      </c>
      <c r="S158" s="9" t="str">
        <v>not specified</v>
      </c>
    </row>
    <row r="159" spans="1:19" ht="51.5" customHeight="1" x14ac:dyDescent="0.35">
      <c r="A159" s="9" t="str">
        <v>15-007</v>
      </c>
      <c r="B159" s="9" t="str">
        <v>Input</v>
      </c>
      <c r="C159" s="9" t="str">
        <v>Labor</v>
      </c>
      <c r="D159" s="9" t="str">
        <v>Input - Labor</v>
      </c>
      <c r="E159" s="9" t="str">
        <v>x</v>
      </c>
      <c r="F159" s="9">
        <v>0</v>
      </c>
      <c r="G159" s="9" t="str">
        <v>Investments</v>
      </c>
      <c r="H159" s="9" t="str">
        <v>Economic - Investments</v>
      </c>
      <c r="I159" s="12" t="str">
        <v>Investment in employee development</v>
      </c>
      <c r="J159" s="9" t="str">
        <v>This indicator measures the cost of employee education and training.</v>
      </c>
      <c r="K159" s="9" t="str">
        <v>Quantitative</v>
      </c>
      <c r="L159" s="9" t="str">
        <v>€</v>
      </c>
      <c r="M159" s="9" t="str">
        <v>-</v>
      </c>
      <c r="N159" s="9">
        <v>5</v>
      </c>
      <c r="O159" s="9" t="str">
        <v>Azapagic &amp; Perdan 2000; Bhakar et al. 2018; Kravchenko et al. 2019; Madanchi et al. 2019; Moldavska &amp; Welo 2018</v>
      </c>
      <c r="P159" s="9" t="str">
        <v>Company; Factory</v>
      </c>
      <c r="Q159" s="9" t="str">
        <v>13 Manufacture of textiles; 22 Manufacture of rubber and plastic products; 23 Manufacture of other non-metallic mineral products; 28 Manufacture of machinery and equipment n.e.c.; 29 Manufacture of motor vehicles, trailers and semi-trailers; 31 Manufacture of furniture; not specified</v>
      </c>
      <c r="R159" s="9" t="str">
        <v>not specified</v>
      </c>
      <c r="S159" s="9" t="str">
        <v>Micro; Small; Medium; Large; not specified</v>
      </c>
    </row>
    <row r="160" spans="1:19" ht="51.5" customHeight="1" x14ac:dyDescent="0.35">
      <c r="A160" s="9" t="str">
        <v>15-008</v>
      </c>
      <c r="B160" s="9" t="str">
        <v>Input</v>
      </c>
      <c r="C160" s="9" t="str">
        <v>Labor</v>
      </c>
      <c r="D160" s="9" t="str">
        <v>Input - Labor</v>
      </c>
      <c r="E160" s="9" t="str">
        <v>x</v>
      </c>
      <c r="F160" s="9">
        <v>0</v>
      </c>
      <c r="G160" s="9" t="str">
        <v>Investments</v>
      </c>
      <c r="H160" s="9" t="str">
        <v>Economic - Investments</v>
      </c>
      <c r="I160" s="12" t="str">
        <v>Number of courses/ conferences/ workshops attended</v>
      </c>
      <c r="J160" s="9" t="str">
        <v>This indicator measures the number of courses, conferences, and workshops attended by employees.</v>
      </c>
      <c r="K160" s="9" t="str">
        <v>Quantitative</v>
      </c>
      <c r="L160" s="9" t="str">
        <v>#</v>
      </c>
      <c r="M160" s="9" t="str">
        <v>-</v>
      </c>
      <c r="N160" s="9">
        <v>1</v>
      </c>
      <c r="O160" s="9" t="str">
        <v>Moldavska &amp; Welo 2018</v>
      </c>
      <c r="P160" s="9" t="str">
        <v>Company</v>
      </c>
      <c r="Q160" s="9" t="str">
        <v>22 Manufacture of rubber and plastic products; 28 Manufacture of machinery and equipment n.e.c.; 29 Manufacture of motor vehicles, trailers and semi-trailers; not specified</v>
      </c>
      <c r="R160" s="9" t="str">
        <v>not specified</v>
      </c>
      <c r="S160" s="9" t="str">
        <v>Small; Medium</v>
      </c>
    </row>
    <row r="161" spans="1:19" ht="51.5" customHeight="1" x14ac:dyDescent="0.35">
      <c r="A161" s="9" t="str">
        <v>15-009</v>
      </c>
      <c r="B161" s="9" t="str">
        <v>Input</v>
      </c>
      <c r="C161" s="9" t="str">
        <v>Labor</v>
      </c>
      <c r="D161" s="9" t="str">
        <v>Input - Labor</v>
      </c>
      <c r="E161" s="9" t="str">
        <v>x</v>
      </c>
      <c r="F161" s="9">
        <v>0</v>
      </c>
      <c r="G161" s="9" t="str">
        <v>Cost</v>
      </c>
      <c r="H161" s="9" t="str">
        <v>Economic - Cost</v>
      </c>
      <c r="I161" s="12" t="str">
        <v>(Initial) Training cost</v>
      </c>
      <c r="J161" s="9" t="str">
        <v>This indicator measures the cost of employee training (initial training for the job).</v>
      </c>
      <c r="K161" s="9" t="str">
        <v>Quantitative</v>
      </c>
      <c r="L161" s="9" t="str">
        <v>€</v>
      </c>
      <c r="M161" s="9" t="str">
        <v>-</v>
      </c>
      <c r="N161" s="9">
        <v>1</v>
      </c>
      <c r="O161" s="9" t="str">
        <v>Huang &amp; Badurdeen 2018</v>
      </c>
      <c r="P161" s="9" t="str">
        <v>Factory; Production line</v>
      </c>
      <c r="Q161" s="9" t="str">
        <v>26 Manufacture of computer, electronic and optical products</v>
      </c>
      <c r="R161" s="9" t="str">
        <v>Original forming; Joining; Coating and finishing; Change of material properties</v>
      </c>
      <c r="S161" s="9" t="str">
        <v>not specified</v>
      </c>
    </row>
    <row r="162" spans="1:19" ht="51.5" customHeight="1" x14ac:dyDescent="0.35">
      <c r="A162" s="9" t="str">
        <v>15-010</v>
      </c>
      <c r="B162" s="9" t="str">
        <v>Input</v>
      </c>
      <c r="C162" s="9" t="str">
        <v>Labor</v>
      </c>
      <c r="D162" s="9" t="str">
        <v>Input - Labor</v>
      </c>
      <c r="E162" s="9">
        <v>0</v>
      </c>
      <c r="F162" s="9" t="str">
        <v>x</v>
      </c>
      <c r="G162" s="9" t="str">
        <v>Other</v>
      </c>
      <c r="H162" s="9" t="str">
        <v>Environmental - Other</v>
      </c>
      <c r="I162" s="12" t="str">
        <v>Percentage of employees trained versus the percentage that need training</v>
      </c>
      <c r="J162" s="9" t="str">
        <v>This indicator measures the percentage of employees trained on environmental aspects versus the percentage that need training.</v>
      </c>
      <c r="K162" s="9" t="str">
        <v>Quantitative</v>
      </c>
      <c r="L162" s="9" t="str">
        <v>%</v>
      </c>
      <c r="M162" s="9" t="str">
        <v>-</v>
      </c>
      <c r="N162" s="9">
        <v>1</v>
      </c>
      <c r="O162" s="9" t="str">
        <v>ISO14031</v>
      </c>
      <c r="P162" s="9" t="str">
        <v>Company; Factory</v>
      </c>
      <c r="Q162" s="9" t="str">
        <v>not specified</v>
      </c>
      <c r="R162" s="9" t="str">
        <v>not specified</v>
      </c>
      <c r="S162" s="9" t="str">
        <v>not specified</v>
      </c>
    </row>
    <row r="163" spans="1:19" ht="51.5" customHeight="1" x14ac:dyDescent="0.35">
      <c r="A163" s="9" t="str">
        <v>15-011</v>
      </c>
      <c r="B163" s="9" t="str">
        <v>Input</v>
      </c>
      <c r="C163" s="9" t="str">
        <v>Labor</v>
      </c>
      <c r="D163" s="9" t="str">
        <v>Input - Labor</v>
      </c>
      <c r="E163" s="9">
        <v>0</v>
      </c>
      <c r="F163" s="9" t="str">
        <v>x</v>
      </c>
      <c r="G163" s="9" t="str">
        <v>Other</v>
      </c>
      <c r="H163" s="9" t="str">
        <v>Environmental - Other</v>
      </c>
      <c r="I163" s="12" t="str">
        <v>Percentage of contracted individuals trained versus the percentage that needs to be trained</v>
      </c>
      <c r="J163" s="9" t="str">
        <v>This indicator measures the percentage of contracted individuals trained versus the percentage that needs to be trained.</v>
      </c>
      <c r="K163" s="9" t="str">
        <v>Quantitative</v>
      </c>
      <c r="L163" s="9" t="str">
        <v>%</v>
      </c>
      <c r="M163" s="9" t="str">
        <v>-</v>
      </c>
      <c r="N163" s="9">
        <v>1</v>
      </c>
      <c r="O163" s="9" t="str">
        <v>ISO14031</v>
      </c>
      <c r="P163" s="9" t="str">
        <v>Company; Factory</v>
      </c>
      <c r="Q163" s="9" t="str">
        <v>not specified</v>
      </c>
      <c r="R163" s="9" t="str">
        <v>not specified</v>
      </c>
      <c r="S163" s="9" t="str">
        <v>not specified</v>
      </c>
    </row>
    <row r="164" spans="1:19" ht="51.5" customHeight="1" x14ac:dyDescent="0.35">
      <c r="A164" s="9" t="str">
        <v>15-012</v>
      </c>
      <c r="B164" s="9" t="str">
        <v>Input</v>
      </c>
      <c r="C164" s="9" t="str">
        <v>Labor</v>
      </c>
      <c r="D164" s="9" t="str">
        <v>Input - Labor</v>
      </c>
      <c r="E164" s="9" t="str">
        <v>x</v>
      </c>
      <c r="F164" s="9">
        <v>0</v>
      </c>
      <c r="G164" s="9" t="str">
        <v>Other</v>
      </c>
      <c r="H164" s="9" t="str">
        <v>Economic - Other</v>
      </c>
      <c r="I164" s="12" t="str">
        <v>Comparison of the wages with the value set by the market</v>
      </c>
      <c r="J164" s="9" t="str">
        <v>This indicator measures the ratio of the lowest wage to the minimum wage.</v>
      </c>
      <c r="K164" s="9" t="str">
        <v>Quantitative</v>
      </c>
      <c r="L164" s="9" t="str">
        <v>%</v>
      </c>
      <c r="M164" s="9" t="str">
        <v>202-1</v>
      </c>
      <c r="N164" s="9">
        <v>3</v>
      </c>
      <c r="O164" s="9" t="str">
        <v>Feil et al. 2017; Hartini et al. 2020; Winroth et al. 2016</v>
      </c>
      <c r="P164" s="9" t="str">
        <v>Company; Factory</v>
      </c>
      <c r="Q164" s="9" t="str">
        <v>31 Manufacture of furniture; not specified</v>
      </c>
      <c r="R164" s="9" t="str">
        <v>Separating; Joining; Coating and finishing; not specified</v>
      </c>
      <c r="S164" s="9" t="str">
        <v>Micro; Small; Medium; not specified</v>
      </c>
    </row>
    <row r="165" spans="1:19" ht="51.5" customHeight="1" x14ac:dyDescent="0.35">
      <c r="A165" s="9" t="str">
        <v>15-013</v>
      </c>
      <c r="B165" s="9" t="str">
        <v>Input</v>
      </c>
      <c r="C165" s="9" t="str">
        <v>Labor</v>
      </c>
      <c r="D165" s="9" t="str">
        <v>Input - Labor</v>
      </c>
      <c r="E165" s="9" t="str">
        <v>x</v>
      </c>
      <c r="F165" s="9">
        <v>0</v>
      </c>
      <c r="G165" s="9" t="str">
        <v>Cost</v>
      </c>
      <c r="H165" s="9" t="str">
        <v>Economic - Cost</v>
      </c>
      <c r="I165" s="12" t="str">
        <v>Employee benefits</v>
      </c>
      <c r="J165" s="9" t="str">
        <v>This indicator measures employee benefits, including health, pension, and other benefits and redundancy packages. It can be measured as the total sum or as a percentage of total employment costs.</v>
      </c>
      <c r="K165" s="9" t="str">
        <v>Quantitative</v>
      </c>
      <c r="L165" s="9" t="str">
        <v>€ or %</v>
      </c>
      <c r="M165" s="9" t="str">
        <v>-</v>
      </c>
      <c r="N165" s="9">
        <v>1</v>
      </c>
      <c r="O165" s="9" t="str">
        <v>Feil et al. 2019</v>
      </c>
      <c r="P165" s="9" t="str">
        <v>Company</v>
      </c>
      <c r="Q165" s="9" t="str">
        <v>not specified</v>
      </c>
      <c r="R165" s="9" t="str">
        <v>not specified</v>
      </c>
      <c r="S165" s="9" t="str">
        <v>not specified</v>
      </c>
    </row>
    <row r="166" spans="1:19" ht="51.5" customHeight="1" x14ac:dyDescent="0.35">
      <c r="A166" s="9" t="str">
        <v>15-014</v>
      </c>
      <c r="B166" s="9" t="str">
        <v>Input</v>
      </c>
      <c r="C166" s="9" t="str">
        <v>Labor</v>
      </c>
      <c r="D166" s="9" t="str">
        <v>Input - Labor</v>
      </c>
      <c r="E166" s="9" t="str">
        <v>x</v>
      </c>
      <c r="F166" s="9">
        <v>0</v>
      </c>
      <c r="G166" s="9" t="str">
        <v>Other</v>
      </c>
      <c r="H166" s="9" t="str">
        <v>Economic - Other</v>
      </c>
      <c r="I166" s="12" t="str">
        <v>Employee productivity</v>
      </c>
      <c r="J166" s="9" t="str">
        <v>This indicator measures employee productivity, which can be calculated as the ratio of value added to the number of employees.</v>
      </c>
      <c r="K166" s="9" t="str">
        <v>Quantitative</v>
      </c>
      <c r="L166" s="9" t="str">
        <v>€/#</v>
      </c>
      <c r="M166" s="9" t="str">
        <v>-</v>
      </c>
      <c r="N166" s="9">
        <v>3</v>
      </c>
      <c r="O166" s="9" t="str">
        <v>Kocmanová et al. 2015; Jiang et al. 2018; Winroth et al. 2016</v>
      </c>
      <c r="P166" s="9" t="str">
        <v>Company; Factory</v>
      </c>
      <c r="Q166" s="9" t="str">
        <v>13 Manufacture of textiles; 22 Manufacture of rubber and plastic products; 24 Manufacture of basic metals; 25 Manufacture of fabricated metal products, except machinery and equipment; 26 Manufacture of computer, electronic and optical products; 27 Manufacture of electrical equipment; 28 Manufacture of machinery and equipment n.e.c.; 29 Manufacture of motor vehicles, trailers and semi-trailers; 30 Manufacture of other transport equipment; not specified</v>
      </c>
      <c r="R166" s="9" t="str">
        <v>not specified</v>
      </c>
      <c r="S166" s="9" t="str">
        <v>Small; Medium; Large; not specified</v>
      </c>
    </row>
    <row r="167" spans="1:19" ht="51.5" customHeight="1" x14ac:dyDescent="0.35">
      <c r="A167" s="9" t="str">
        <v>15-015</v>
      </c>
      <c r="B167" s="9" t="str">
        <v>Input</v>
      </c>
      <c r="C167" s="9" t="str">
        <v>Labor</v>
      </c>
      <c r="D167" s="9" t="str">
        <v>Input - Labor</v>
      </c>
      <c r="E167" s="9" t="str">
        <v>x</v>
      </c>
      <c r="F167" s="9">
        <v>0</v>
      </c>
      <c r="G167" s="9" t="str">
        <v>Other</v>
      </c>
      <c r="H167" s="9" t="str">
        <v>Economic - Other</v>
      </c>
      <c r="I167" s="12" t="str">
        <v>Utilization of manual labor (Labor efficiency)</v>
      </c>
      <c r="J167" s="9" t="str">
        <v>This indicator measures labor efficiency, which can be defined as the share of the total planned time that is spent on value-adding or supporting tasks (as defined by a standard operating procedure).</v>
      </c>
      <c r="K167" s="9" t="str">
        <v>Quantitative</v>
      </c>
      <c r="L167" s="9" t="str">
        <v>%</v>
      </c>
      <c r="M167" s="9" t="str">
        <v>-</v>
      </c>
      <c r="N167" s="9">
        <v>1</v>
      </c>
      <c r="O167" s="9" t="str">
        <v>Huang &amp; Badurdeen 2018</v>
      </c>
      <c r="P167" s="9" t="str">
        <v>Factory; Production line</v>
      </c>
      <c r="Q167" s="9" t="str">
        <v>26 Manufacture of computer, electronic and optical products</v>
      </c>
      <c r="R167" s="9" t="str">
        <v>Original forming; Joining; Coating and finishing; Change of material properties</v>
      </c>
      <c r="S167" s="9" t="str">
        <v>not specified</v>
      </c>
    </row>
    <row r="168" spans="1:19" ht="51.5" customHeight="1" x14ac:dyDescent="0.35">
      <c r="A168" s="9" t="str">
        <v>21-001</v>
      </c>
      <c r="B168" s="9" t="str">
        <v>Management processes</v>
      </c>
      <c r="C168" s="9" t="str">
        <v>Policies and programs</v>
      </c>
      <c r="D168" s="9" t="str">
        <v>Management processes - Policies and programs</v>
      </c>
      <c r="E168" s="9">
        <v>0</v>
      </c>
      <c r="F168" s="9" t="str">
        <v>x</v>
      </c>
      <c r="G168" s="9" t="str">
        <v>Other</v>
      </c>
      <c r="H168" s="9" t="str">
        <v>Environmental - Other</v>
      </c>
      <c r="I168" s="12" t="str">
        <v>Environmental management assessment</v>
      </c>
      <c r="J168" s="9" t="str">
        <v>This indicator queries the use of an environmental management system/ assessment. (yes / no, which type)</v>
      </c>
      <c r="K168" s="9" t="str">
        <v>Qualitative</v>
      </c>
      <c r="L168" s="9" t="str">
        <v>descriptive</v>
      </c>
      <c r="M168" s="9" t="str">
        <v>-</v>
      </c>
      <c r="N168" s="9">
        <v>4</v>
      </c>
      <c r="O168" s="9" t="str">
        <v>Azapagic &amp; Perdan 2000; Feil et al. 2019; Helleno et al. 2017; Rahdari &amp; Anvary Rostamy 2015</v>
      </c>
      <c r="P168" s="9" t="str">
        <v>Company; Production line; Process</v>
      </c>
      <c r="Q168" s="9" t="str">
        <v>22 Manufacture of rubber and plastic products; not specified</v>
      </c>
      <c r="R168" s="9" t="str">
        <v>Original forming; Transforming; Separating; Coating and finishing; not specified</v>
      </c>
      <c r="S168" s="9" t="str">
        <v>not specified</v>
      </c>
    </row>
    <row r="169" spans="1:19" ht="51.5" customHeight="1" x14ac:dyDescent="0.35">
      <c r="A169" s="9" t="str">
        <v>21-002</v>
      </c>
      <c r="B169" s="9" t="str">
        <v>Management processes</v>
      </c>
      <c r="C169" s="9" t="str">
        <v>Policies and programs</v>
      </c>
      <c r="D169" s="9" t="str">
        <v>Management processes - Policies and programs</v>
      </c>
      <c r="E169" s="9">
        <v>0</v>
      </c>
      <c r="F169" s="9" t="str">
        <v>x</v>
      </c>
      <c r="G169" s="9" t="str">
        <v>Other</v>
      </c>
      <c r="H169" s="9" t="str">
        <v>Environmental - Other</v>
      </c>
      <c r="I169" s="12" t="str">
        <v>Environmental risk assessment</v>
      </c>
      <c r="J169" s="9" t="str">
        <v>This indicator queries the use of an environmental risk assessment. (yes/ no, which type)</v>
      </c>
      <c r="K169" s="9" t="str">
        <v>Qualitative</v>
      </c>
      <c r="L169" s="9" t="str">
        <v>descriptive</v>
      </c>
      <c r="M169" s="9" t="str">
        <v>-</v>
      </c>
      <c r="N169" s="9">
        <v>2</v>
      </c>
      <c r="O169" s="9" t="str">
        <v>Moldavska &amp; Welo 2018; Rahdari &amp; Anvary Rostamy 2015</v>
      </c>
      <c r="P169" s="9" t="str">
        <v>Company</v>
      </c>
      <c r="Q169" s="9" t="str">
        <v>22 Manufacture of rubber and plastic products; 28 Manufacture of machinery and equipment n.e.c.; 29 Manufacture of motor vehicles, trailers and semi-trailers; not specified</v>
      </c>
      <c r="R169" s="9" t="str">
        <v>not specified</v>
      </c>
      <c r="S169" s="9" t="str">
        <v>Small; Medium; not specified</v>
      </c>
    </row>
    <row r="170" spans="1:19" ht="51.5" customHeight="1" x14ac:dyDescent="0.35">
      <c r="A170" s="9" t="str">
        <v>21-003</v>
      </c>
      <c r="B170" s="9" t="str">
        <v>Management processes</v>
      </c>
      <c r="C170" s="9" t="str">
        <v>Policies and programs</v>
      </c>
      <c r="D170" s="9" t="str">
        <v>Management processes - Policies and programs</v>
      </c>
      <c r="E170" s="9">
        <v>0</v>
      </c>
      <c r="F170" s="9" t="str">
        <v>x</v>
      </c>
      <c r="G170" s="9" t="str">
        <v>Other</v>
      </c>
      <c r="H170" s="9" t="str">
        <v>Environmental - Other</v>
      </c>
      <c r="I170" s="12" t="str">
        <v>Environmental certifications</v>
      </c>
      <c r="J170" s="9" t="str">
        <v>This indicator queries if any environmental certifications, e.g., ISO 9001, ISO 140001, OHSAS 18001, have been achieved.</v>
      </c>
      <c r="K170" s="9" t="str">
        <v>Qualitative</v>
      </c>
      <c r="L170" s="9" t="str">
        <v>descriptive</v>
      </c>
      <c r="M170" s="9" t="str">
        <v>-</v>
      </c>
      <c r="N170" s="9">
        <v>2</v>
      </c>
      <c r="O170" s="9" t="str">
        <v>Cagno et al. 2019; Feil et al. 2019</v>
      </c>
      <c r="P170" s="9" t="str">
        <v>Company</v>
      </c>
      <c r="Q170" s="9" t="str">
        <v>13 Manufacture of textiles; 24 Manufacture of basic metals; 28 Manufacture of machinery and equipment n.e.c.; 31 Manufacture of furniture; not specified</v>
      </c>
      <c r="R170" s="9" t="str">
        <v>not specified</v>
      </c>
      <c r="S170" s="9" t="str">
        <v>Small; Medium; Large; not specified</v>
      </c>
    </row>
    <row r="171" spans="1:19" ht="51.5" customHeight="1" x14ac:dyDescent="0.35">
      <c r="A171" s="9" t="str">
        <v>21-004</v>
      </c>
      <c r="B171" s="9" t="str">
        <v>Management processes</v>
      </c>
      <c r="C171" s="9" t="str">
        <v>Policies and programs</v>
      </c>
      <c r="D171" s="9" t="str">
        <v>Management processes - Policies and programs</v>
      </c>
      <c r="E171" s="9">
        <v>0</v>
      </c>
      <c r="F171" s="9" t="str">
        <v>x</v>
      </c>
      <c r="G171" s="9" t="str">
        <v>Resource Use &amp; Circular Economy</v>
      </c>
      <c r="H171" s="9" t="str">
        <v>Environmental - Resource Use &amp; Circular Economy</v>
      </c>
      <c r="I171" s="12" t="str">
        <v>Lean production techniques</v>
      </c>
      <c r="J171" s="9" t="str">
        <v>This indicator queries if lean and quality control techniques are used to minimize waste (yes/ no).</v>
      </c>
      <c r="K171" s="9" t="str">
        <v>Qualitative</v>
      </c>
      <c r="L171" s="9" t="str">
        <v>descriptive</v>
      </c>
      <c r="M171" s="9" t="str">
        <v>-</v>
      </c>
      <c r="N171" s="9">
        <v>1</v>
      </c>
      <c r="O171" s="9" t="str">
        <v>Park &amp; Kremer 2017</v>
      </c>
      <c r="P171" s="9" t="str">
        <v>Company</v>
      </c>
      <c r="Q171" s="9" t="str">
        <v>not specified</v>
      </c>
      <c r="R171" s="9" t="str">
        <v>not specified</v>
      </c>
      <c r="S171" s="9" t="str">
        <v>not specified</v>
      </c>
    </row>
    <row r="172" spans="1:19" ht="51.5" customHeight="1" x14ac:dyDescent="0.35">
      <c r="A172" s="9" t="str">
        <v>21-005</v>
      </c>
      <c r="B172" s="9" t="str">
        <v>Management processes</v>
      </c>
      <c r="C172" s="9" t="str">
        <v>Policies and programs</v>
      </c>
      <c r="D172" s="9" t="str">
        <v>Management processes - Policies and programs</v>
      </c>
      <c r="E172" s="9" t="str">
        <v>x</v>
      </c>
      <c r="F172" s="9">
        <v>0</v>
      </c>
      <c r="G172" s="9" t="str">
        <v>Other</v>
      </c>
      <c r="H172" s="9" t="str">
        <v>Economic - Other</v>
      </c>
      <c r="I172" s="12" t="str">
        <v>6R concepts</v>
      </c>
      <c r="J172" s="9" t="str">
        <v>This indicator queries if the 6R principles (reduce, reuse, recycle, recover, redesign, and remanufacture the products over multiple life cycles) are used.</v>
      </c>
      <c r="K172" s="9" t="str">
        <v>Qualitative</v>
      </c>
      <c r="L172" s="9" t="str">
        <v>descriptive</v>
      </c>
      <c r="M172" s="9" t="str">
        <v>-</v>
      </c>
      <c r="N172" s="9">
        <v>1</v>
      </c>
      <c r="O172" s="9" t="str">
        <v>Gani et al. 2021</v>
      </c>
      <c r="P172" s="9" t="str">
        <v>Company</v>
      </c>
      <c r="Q172" s="9" t="str">
        <v>not specified</v>
      </c>
      <c r="R172" s="9" t="str">
        <v>not specified</v>
      </c>
      <c r="S172" s="9" t="str">
        <v>not specified</v>
      </c>
    </row>
    <row r="173" spans="1:19" ht="51.5" customHeight="1" x14ac:dyDescent="0.35">
      <c r="A173" s="9" t="str">
        <v>21-006</v>
      </c>
      <c r="B173" s="9" t="str">
        <v>Management processes</v>
      </c>
      <c r="C173" s="9" t="str">
        <v>Policies and programs</v>
      </c>
      <c r="D173" s="9" t="str">
        <v>Management processes - Policies and programs</v>
      </c>
      <c r="E173" s="9">
        <v>0</v>
      </c>
      <c r="F173" s="9" t="str">
        <v>x</v>
      </c>
      <c r="G173" s="9" t="str">
        <v>Other</v>
      </c>
      <c r="H173" s="9" t="str">
        <v>Environmental - Other</v>
      </c>
      <c r="I173" s="12" t="str">
        <v>Green manufacturing</v>
      </c>
      <c r="J173" s="9" t="str">
        <v>This indicator queries the implementation of green manufacturing concepts like design for environment (DFE), life-cycle assessment (LCA), quality function deployment for environment (QFDE), smart factories, cloud-based technologies, recycled products for raw materials, reducing waste while transporting, and green supply chain.</v>
      </c>
      <c r="K173" s="9" t="str">
        <v>Qualitative</v>
      </c>
      <c r="L173" s="9" t="str">
        <v>descriptive</v>
      </c>
      <c r="M173" s="9" t="str">
        <v>-</v>
      </c>
      <c r="N173" s="9">
        <v>1</v>
      </c>
      <c r="O173" s="9" t="str">
        <v>Gani et al. 2021</v>
      </c>
      <c r="P173" s="9" t="str">
        <v>Company</v>
      </c>
      <c r="Q173" s="9" t="str">
        <v>not specified</v>
      </c>
      <c r="R173" s="9" t="str">
        <v>not specified</v>
      </c>
      <c r="S173" s="9" t="str">
        <v>not specified</v>
      </c>
    </row>
    <row r="174" spans="1:19" ht="51.5" customHeight="1" x14ac:dyDescent="0.35">
      <c r="A174" s="9" t="str">
        <v>21-007</v>
      </c>
      <c r="B174" s="9" t="str">
        <v>Management processes</v>
      </c>
      <c r="C174" s="9" t="str">
        <v>Policies and programs</v>
      </c>
      <c r="D174" s="9" t="str">
        <v>Management processes - Policies and programs</v>
      </c>
      <c r="E174" s="9" t="str">
        <v>x</v>
      </c>
      <c r="F174" s="9">
        <v>0</v>
      </c>
      <c r="G174" s="9" t="str">
        <v>Investments</v>
      </c>
      <c r="H174" s="9" t="str">
        <v>Economic - Investments</v>
      </c>
      <c r="I174" s="12" t="str">
        <v>Investments</v>
      </c>
      <c r="J174" s="9" t="str">
        <v>This indicator measures the total sum of investments.</v>
      </c>
      <c r="K174" s="9" t="str">
        <v>Quantitative</v>
      </c>
      <c r="L174" s="9" t="str">
        <v>€</v>
      </c>
      <c r="M174" s="9" t="str">
        <v>-</v>
      </c>
      <c r="N174" s="9">
        <v>3</v>
      </c>
      <c r="O174" s="9" t="str">
        <v>Butnariu &amp; Avasilcai 2015; Dočekalová &amp; Kocmanová 2016; Feil et al. 2019</v>
      </c>
      <c r="P174" s="9" t="str">
        <v>Company</v>
      </c>
      <c r="Q174" s="9" t="str">
        <v>13 Manufacture of textiles; 27 Manufacture of electrical equipment; not specified</v>
      </c>
      <c r="R174" s="9" t="str">
        <v>not specified</v>
      </c>
      <c r="S174" s="9" t="str">
        <v>Large; not specified</v>
      </c>
    </row>
    <row r="175" spans="1:19" ht="51.5" customHeight="1" x14ac:dyDescent="0.35">
      <c r="A175" s="9" t="str">
        <v>21-008</v>
      </c>
      <c r="B175" s="9" t="str">
        <v>Management processes</v>
      </c>
      <c r="C175" s="9" t="str">
        <v>Policies and programs</v>
      </c>
      <c r="D175" s="9" t="str">
        <v>Management processes - Policies and programs</v>
      </c>
      <c r="E175" s="9" t="str">
        <v>x</v>
      </c>
      <c r="F175" s="9">
        <v>0</v>
      </c>
      <c r="G175" s="9" t="str">
        <v>Investments</v>
      </c>
      <c r="H175" s="9" t="str">
        <v>Economic - Investments</v>
      </c>
      <c r="I175" s="12" t="str">
        <v>Research &amp; development investments</v>
      </c>
      <c r="J175" s="9" t="str">
        <v>This indicator measures the sum of R&amp;D investments.</v>
      </c>
      <c r="K175" s="9" t="str">
        <v>Quantitative</v>
      </c>
      <c r="L175" s="9" t="str">
        <v>€</v>
      </c>
      <c r="M175" s="9" t="str">
        <v>-</v>
      </c>
      <c r="N175" s="9">
        <v>18</v>
      </c>
      <c r="O175" s="9" t="str">
        <v>Beekaroo et al. 2019; Bhakar et al. 2018; Butnariu &amp; Avasilcai 2015; Cagno et al. 2019; Cagno et al. 2023; Dočekalová &amp; Kocmanová 2016; Feil et al. 2019; Huang &amp; Badurdeen 2017; Jiang et al. 2018; Kaldas et al. 2021; Madanchi et al. 2019; Mengistu &amp; Panizzolo 2021; Mengistu &amp; Panizzolo 2023a; Mengistu &amp; Panizzolo 2023b; Pinto et al. 2020; Salvado et al. 2015; Singh et al. 2007a; Song &amp; Moon 2019</v>
      </c>
      <c r="P175" s="9" t="str">
        <v>Company; Factory; Production line</v>
      </c>
      <c r="Q175" s="9" t="str">
        <v>13 Manufacture of textiles; 15 Manufacture of leather and related products; 23 Manufacture of other non-metallic mineral products; 24 Manufacture of basic metals; 26 Manufacture of computer, electronic and optical products; 27 Manufacture of electrical equipment; 28 Manufacture of machinery and equipment n.e.c.; 29 Manufacture of motor vehicles, trailers and semi-trailers; 30 Manufacture of other transport equipment; 31 Manufacture of furniture; not specified</v>
      </c>
      <c r="R175" s="9" t="str">
        <v>Original forming; Joining; Coating and finishing; Change of material properties; not specified</v>
      </c>
      <c r="S175" s="9" t="str">
        <v>Small; Medium; Large; not specified</v>
      </c>
    </row>
    <row r="176" spans="1:19" ht="51.5" customHeight="1" x14ac:dyDescent="0.35">
      <c r="A176" s="9" t="str">
        <v>21-009</v>
      </c>
      <c r="B176" s="9" t="str">
        <v>Management processes</v>
      </c>
      <c r="C176" s="9" t="str">
        <v>Policies and programs</v>
      </c>
      <c r="D176" s="9" t="str">
        <v>Management processes - Policies and programs</v>
      </c>
      <c r="E176" s="9">
        <v>0</v>
      </c>
      <c r="F176" s="9" t="str">
        <v>x</v>
      </c>
      <c r="G176" s="9" t="str">
        <v>Biodiversity &amp; Ecosystems</v>
      </c>
      <c r="H176" s="9" t="str">
        <v>Environmental - Biodiversity &amp; Ecosystems</v>
      </c>
      <c r="I176" s="12" t="str">
        <v>Environmental investments</v>
      </c>
      <c r="J176" s="9" t="str">
        <v>This indicator measures the sum for environmental investments, e.g., in pollution prevention and control or environmental protection.</v>
      </c>
      <c r="K176" s="9" t="str">
        <v>Quantitative</v>
      </c>
      <c r="L176" s="9" t="str">
        <v>€</v>
      </c>
      <c r="M176" s="9" t="str">
        <v>-</v>
      </c>
      <c r="N176" s="9">
        <v>12</v>
      </c>
      <c r="O176" s="9" t="str">
        <v>Cagno et al. 2019; Cagno et al. 2023; Dočekalová &amp; Kocmanová 2016; Fan et al. 2010; Feil et al. 2019; Gani et al. 2021; Jiang et al. 2018; Li et al. 2012; Long et al. 2016; Rahdari &amp; Anvary Rostamy 2015; Rao et al. 2006; ISO14031</v>
      </c>
      <c r="P176" s="9" t="str">
        <v>Company; Factory</v>
      </c>
      <c r="Q176" s="9" t="str">
        <v>13 Manufacture of textiles; 23 Manufacture of other non-metallic mineral products; 24 Manufacture of basic metals; 25 Manufacture of fabricated metal products, except machinery and equipment; 26 Manufacture of computer, electronic and optical products; 27 Manufacture of electrical equipment; 28 Manufacture of machinery and equipment n.e.c.; 29 Manufacture of motor vehicles, trailers and semi-trailers; 30 Manufacture of other transport equipment; 31 Manufacture of furniture; 32 Other manufacturing; not specified</v>
      </c>
      <c r="R176" s="9" t="str">
        <v>not specified</v>
      </c>
      <c r="S176" s="9" t="str">
        <v>Small; Medium; Large; not specified</v>
      </c>
    </row>
    <row r="177" spans="1:19" ht="51.5" customHeight="1" x14ac:dyDescent="0.35">
      <c r="A177" s="9" t="str">
        <v>21-010</v>
      </c>
      <c r="B177" s="9" t="str">
        <v>Management processes</v>
      </c>
      <c r="C177" s="9" t="str">
        <v>Policies and programs</v>
      </c>
      <c r="D177" s="9" t="str">
        <v>Management processes - Policies and programs</v>
      </c>
      <c r="E177" s="9">
        <v>0</v>
      </c>
      <c r="F177" s="9" t="str">
        <v>x</v>
      </c>
      <c r="G177" s="9" t="str">
        <v>Biodiversity &amp; Ecosystems</v>
      </c>
      <c r="H177" s="9" t="str">
        <v>Environmental - Biodiversity &amp; Ecosystems</v>
      </c>
      <c r="I177" s="12" t="str">
        <v>Investments in resilience to environmental hazards and resource scarcity</v>
      </c>
      <c r="J177" s="9" t="str">
        <v>This indicator measures the sum of investments in resilience to environmental hazards and resource scarcity. (It can also be measured as a percentage of all investments.)</v>
      </c>
      <c r="K177" s="9" t="str">
        <v>Quantitative</v>
      </c>
      <c r="L177" s="9" t="str">
        <v>€ or %</v>
      </c>
      <c r="M177" s="9" t="str">
        <v>-</v>
      </c>
      <c r="N177" s="9">
        <v>1</v>
      </c>
      <c r="O177" s="9" t="str">
        <v>Moldavska &amp; Welo 2018</v>
      </c>
      <c r="P177" s="9" t="str">
        <v>Company</v>
      </c>
      <c r="Q177" s="9" t="str">
        <v>22 Manufacture of rubber and plastic products; 28 Manufacture of machinery and equipment n.e.c.; 29 Manufacture of motor vehicles, trailers and semi-trailers; not specified</v>
      </c>
      <c r="R177" s="9" t="str">
        <v>not specified</v>
      </c>
      <c r="S177" s="9" t="str">
        <v>Small; Medium</v>
      </c>
    </row>
    <row r="178" spans="1:19" ht="51.5" customHeight="1" x14ac:dyDescent="0.35">
      <c r="A178" s="9" t="str">
        <v>21-011</v>
      </c>
      <c r="B178" s="9" t="str">
        <v>Management processes</v>
      </c>
      <c r="C178" s="9" t="str">
        <v>Policies and programs</v>
      </c>
      <c r="D178" s="9" t="str">
        <v>Management processes - Policies and programs</v>
      </c>
      <c r="E178" s="9" t="str">
        <v>x</v>
      </c>
      <c r="F178" s="9">
        <v>0</v>
      </c>
      <c r="G178" s="9" t="str">
        <v>Investments</v>
      </c>
      <c r="H178" s="9" t="str">
        <v>Economic - Investments</v>
      </c>
      <c r="I178" s="12" t="str">
        <v>Energy efficiency investments</v>
      </c>
      <c r="J178" s="9" t="str">
        <v>This indicator measures the sum of investments in energy efficiency.</v>
      </c>
      <c r="K178" s="9" t="str">
        <v>Quantitative</v>
      </c>
      <c r="L178" s="9" t="str">
        <v>€</v>
      </c>
      <c r="M178" s="9" t="str">
        <v>-</v>
      </c>
      <c r="N178" s="9">
        <v>2</v>
      </c>
      <c r="O178" s="9" t="str">
        <v>Cagno et al. 2019; Cagno et al. 2023</v>
      </c>
      <c r="P178" s="9" t="str">
        <v>Company</v>
      </c>
      <c r="Q178" s="9" t="str">
        <v>13 Manufacture of textiles; 23 Manufacture of other non-metallic mineral products; 24 Manufacture of basic metals; 27 Manufacture of electrical equipment; 28 Manufacture of machinery and equipment n.e.c.; 29 Manufacture of motor vehicles, trailers and semi-trailers; 31 Manufacture of furniture</v>
      </c>
      <c r="R178" s="9" t="str">
        <v>not specified</v>
      </c>
      <c r="S178" s="9" t="str">
        <v>Small; Medium; Large</v>
      </c>
    </row>
    <row r="179" spans="1:19" ht="51.5" customHeight="1" x14ac:dyDescent="0.35">
      <c r="A179" s="9" t="str">
        <v>21-012</v>
      </c>
      <c r="B179" s="9" t="str">
        <v>Management processes</v>
      </c>
      <c r="C179" s="9" t="str">
        <v>Policies and programs</v>
      </c>
      <c r="D179" s="9" t="str">
        <v>Management processes - Policies and programs</v>
      </c>
      <c r="E179" s="9" t="str">
        <v>x</v>
      </c>
      <c r="F179" s="9">
        <v>0</v>
      </c>
      <c r="G179" s="9" t="str">
        <v>Investments</v>
      </c>
      <c r="H179" s="9" t="str">
        <v>Economic - Investments</v>
      </c>
      <c r="I179" s="12" t="str">
        <v>Expansion investments</v>
      </c>
      <c r="J179" s="9" t="str">
        <v>This indicator measures the sum of investments in the expansion of production scale.</v>
      </c>
      <c r="K179" s="9" t="str">
        <v>Quantitative</v>
      </c>
      <c r="L179" s="9" t="str">
        <v>€</v>
      </c>
      <c r="M179" s="9" t="str">
        <v>-</v>
      </c>
      <c r="N179" s="9">
        <v>1</v>
      </c>
      <c r="O179" s="9" t="str">
        <v>Song &amp; Moon 2019</v>
      </c>
      <c r="P179" s="9" t="str">
        <v>Production line</v>
      </c>
      <c r="Q179" s="9" t="str">
        <v>30 Manufacture of other transport equipment</v>
      </c>
      <c r="R179" s="9" t="str">
        <v>Joining</v>
      </c>
      <c r="S179" s="9" t="str">
        <v>not specified</v>
      </c>
    </row>
    <row r="180" spans="1:19" ht="51.5" customHeight="1" x14ac:dyDescent="0.35">
      <c r="A180" s="9" t="str">
        <v>21-013</v>
      </c>
      <c r="B180" s="9" t="str">
        <v>Management processes</v>
      </c>
      <c r="C180" s="9" t="str">
        <v>Policies and programs</v>
      </c>
      <c r="D180" s="9" t="str">
        <v>Management processes - Policies and programs</v>
      </c>
      <c r="E180" s="9">
        <v>0</v>
      </c>
      <c r="F180" s="9" t="str">
        <v>x</v>
      </c>
      <c r="G180" s="9" t="str">
        <v>Other</v>
      </c>
      <c r="H180" s="9" t="str">
        <v>Environmental - Other</v>
      </c>
      <c r="I180" s="12" t="str">
        <v>Costs for environmental management</v>
      </c>
      <c r="J180" s="9" t="str">
        <v>This indicator measures the costs associated with environmental management.</v>
      </c>
      <c r="K180" s="9" t="str">
        <v>Quantitative</v>
      </c>
      <c r="L180" s="9" t="str">
        <v>€</v>
      </c>
      <c r="M180" s="9" t="str">
        <v>-</v>
      </c>
      <c r="N180" s="9">
        <v>1</v>
      </c>
      <c r="O180" s="9" t="str">
        <v>Lee &amp; Farzipoor Saen 2012</v>
      </c>
      <c r="P180" s="9" t="str">
        <v>Company</v>
      </c>
      <c r="Q180" s="9" t="str">
        <v>24 Manufacture of basic metals; 26 Manufacture of computer, electronic and optical products; 29 Manufacture of motor vehicles, trailers and semi-trailers</v>
      </c>
      <c r="R180" s="9" t="str">
        <v>not specified</v>
      </c>
      <c r="S180" s="9" t="str">
        <v>Large</v>
      </c>
    </row>
    <row r="181" spans="1:19" ht="51.5" customHeight="1" x14ac:dyDescent="0.35">
      <c r="A181" s="9" t="str">
        <v>21-014</v>
      </c>
      <c r="B181" s="9" t="str">
        <v>Management processes</v>
      </c>
      <c r="C181" s="9" t="str">
        <v>Policies and programs</v>
      </c>
      <c r="D181" s="9" t="str">
        <v>Management processes - Policies and programs</v>
      </c>
      <c r="E181" s="9">
        <v>0</v>
      </c>
      <c r="F181" s="9" t="str">
        <v>x</v>
      </c>
      <c r="G181" s="9" t="str">
        <v>Pollution</v>
      </c>
      <c r="H181" s="9" t="str">
        <v>Environmental - Pollution</v>
      </c>
      <c r="I181" s="12" t="str">
        <v>Non-investment environmental costs</v>
      </c>
      <c r="J181" s="9" t="str">
        <v>This indicator measures the (non-investment) environmental costs, e.g., operating costs for environmental protection.</v>
      </c>
      <c r="K181" s="9" t="str">
        <v>Quantitative</v>
      </c>
      <c r="L181" s="9" t="str">
        <v>€</v>
      </c>
      <c r="M181" s="9" t="str">
        <v>-</v>
      </c>
      <c r="N181" s="9">
        <v>5</v>
      </c>
      <c r="O181" s="9" t="str">
        <v>Azapagic &amp; Perdan 2000; Dočekalová &amp; Kocmanová 2016; Kocmanová et al. 2015; Rao et al. 2006; ISO14031</v>
      </c>
      <c r="P181" s="9" t="str">
        <v>Company; Factory</v>
      </c>
      <c r="Q181" s="9" t="str">
        <v>13 Manufacture of textiles; 22 Manufacture of rubber and plastic products; 24 Manufacture of basic metals; 25 Manufacture of fabricated metal products, except machinery and equipment; 26 Manufacture of computer, electronic and optical products; 27 Manufacture of electrical equipment; 28 Manufacture of machinery and equipment n.e.c.; 29 Manufacture of motor vehicles, trailers and semi-trailers; 31 Manufacture of furniture; 32 Other manufacturing; not specified</v>
      </c>
      <c r="R181" s="9" t="str">
        <v>not specified</v>
      </c>
      <c r="S181" s="9" t="str">
        <v>Small; Medium; Large; not specified</v>
      </c>
    </row>
    <row r="182" spans="1:19" ht="51.5" customHeight="1" x14ac:dyDescent="0.35">
      <c r="A182" s="9" t="str">
        <v>21-015</v>
      </c>
      <c r="B182" s="9" t="str">
        <v>Management processes</v>
      </c>
      <c r="C182" s="9" t="str">
        <v>Policies and programs</v>
      </c>
      <c r="D182" s="9" t="str">
        <v>Management processes - Policies and programs</v>
      </c>
      <c r="E182" s="9" t="str">
        <v>x</v>
      </c>
      <c r="F182" s="9">
        <v>0</v>
      </c>
      <c r="G182" s="9" t="str">
        <v>Cost</v>
      </c>
      <c r="H182" s="9" t="str">
        <v>Economic - Cost</v>
      </c>
      <c r="I182" s="12" t="str">
        <v>Expenditure on employee health and safety</v>
      </c>
      <c r="J182" s="9" t="str">
        <v>This indicator measures costs associated with the health protection of employees (e.g., protection clothes, supplementary work equipment).</v>
      </c>
      <c r="K182" s="9" t="str">
        <v>Quantitative</v>
      </c>
      <c r="L182" s="9" t="str">
        <v>€</v>
      </c>
      <c r="M182" s="9" t="str">
        <v>-</v>
      </c>
      <c r="N182" s="9">
        <v>2</v>
      </c>
      <c r="O182" s="9" t="str">
        <v>Azapagic &amp; Perdan 2000; Kravchenko et al. 2019</v>
      </c>
      <c r="P182" s="9" t="str">
        <v>Company</v>
      </c>
      <c r="Q182" s="9" t="str">
        <v>13 Manufacture of textiles; 28 Manufacture of machinery and equipment n.e.c.; 31 Manufacture of furniture; not specified</v>
      </c>
      <c r="R182" s="9" t="str">
        <v>not specified</v>
      </c>
      <c r="S182" s="9" t="str">
        <v>Micro; Large; not specified</v>
      </c>
    </row>
    <row r="183" spans="1:19" ht="51.5" customHeight="1" x14ac:dyDescent="0.35">
      <c r="A183" s="9" t="str">
        <v>21-016</v>
      </c>
      <c r="B183" s="9" t="str">
        <v>Management processes</v>
      </c>
      <c r="C183" s="9" t="str">
        <v>Policies and programs</v>
      </c>
      <c r="D183" s="9" t="str">
        <v>Management processes - Policies and programs</v>
      </c>
      <c r="E183" s="9">
        <v>0</v>
      </c>
      <c r="F183" s="9" t="str">
        <v>x</v>
      </c>
      <c r="G183" s="9" t="str">
        <v>Other</v>
      </c>
      <c r="H183" s="9" t="str">
        <v>Environmental - Other</v>
      </c>
      <c r="I183" s="12" t="str">
        <v>Sustainability initiatives</v>
      </c>
      <c r="J183" s="9" t="str">
        <v>This indicator measures the total number of sustainability initiatives implemented. It includes initiatives to enhance environmental performance, accountability, and equity.</v>
      </c>
      <c r="K183" s="9" t="str">
        <v>Quantitative</v>
      </c>
      <c r="L183" s="9" t="str">
        <v>#</v>
      </c>
      <c r="M183" s="9" t="str">
        <v>-</v>
      </c>
      <c r="N183" s="9">
        <v>1</v>
      </c>
      <c r="O183" s="9" t="str">
        <v>Gani et al. 2021</v>
      </c>
      <c r="P183" s="9" t="str">
        <v>Company</v>
      </c>
      <c r="Q183" s="9" t="str">
        <v>not specified</v>
      </c>
      <c r="R183" s="9" t="str">
        <v>not specified</v>
      </c>
      <c r="S183" s="9" t="str">
        <v>not specified</v>
      </c>
    </row>
    <row r="184" spans="1:19" ht="51.5" customHeight="1" x14ac:dyDescent="0.35">
      <c r="A184" s="9" t="str">
        <v>21-017</v>
      </c>
      <c r="B184" s="9" t="str">
        <v>Management processes</v>
      </c>
      <c r="C184" s="9" t="str">
        <v>Policies and programs</v>
      </c>
      <c r="D184" s="9" t="str">
        <v>Management processes - Policies and programs</v>
      </c>
      <c r="E184" s="9">
        <v>0</v>
      </c>
      <c r="F184" s="9" t="str">
        <v>x</v>
      </c>
      <c r="G184" s="9" t="str">
        <v>Biodiversity &amp; Ecosystems</v>
      </c>
      <c r="H184" s="9" t="str">
        <v>Environmental - Biodiversity &amp; Ecosystems</v>
      </c>
      <c r="I184" s="12" t="str">
        <v>Initiatives for natural habitat conservation</v>
      </c>
      <c r="J184" s="9" t="str">
        <v>This indicator measures the total number of initiatives implemented for natural habitat conservation.</v>
      </c>
      <c r="K184" s="9" t="str">
        <v>Quantitative</v>
      </c>
      <c r="L184" s="9" t="str">
        <v>#</v>
      </c>
      <c r="M184" s="9" t="str">
        <v>-</v>
      </c>
      <c r="N184" s="9">
        <v>1</v>
      </c>
      <c r="O184" s="9" t="str">
        <v>Pinto et al. 2020</v>
      </c>
      <c r="P184" s="9" t="str">
        <v>Company</v>
      </c>
      <c r="Q184" s="9" t="str">
        <v>29 Manufacture of motor vehicles, trailers and semi-trailers</v>
      </c>
      <c r="R184" s="9" t="str">
        <v>not specified</v>
      </c>
      <c r="S184" s="9" t="str">
        <v>not specified</v>
      </c>
    </row>
    <row r="185" spans="1:19" ht="51.5" customHeight="1" x14ac:dyDescent="0.35">
      <c r="A185" s="9" t="str">
        <v>21-018</v>
      </c>
      <c r="B185" s="9" t="str">
        <v>Management processes</v>
      </c>
      <c r="C185" s="9" t="str">
        <v>Policies and programs</v>
      </c>
      <c r="D185" s="9" t="str">
        <v>Management processes - Policies and programs</v>
      </c>
      <c r="E185" s="9" t="str">
        <v>x</v>
      </c>
      <c r="F185" s="9">
        <v>0</v>
      </c>
      <c r="G185" s="9" t="str">
        <v>Investments</v>
      </c>
      <c r="H185" s="9" t="str">
        <v>Economic - Investments</v>
      </c>
      <c r="I185" s="12" t="str">
        <v>Green technology development projects</v>
      </c>
      <c r="J185" s="9" t="str">
        <v>This indicator measures the number of green technology development projects.</v>
      </c>
      <c r="K185" s="9" t="str">
        <v>Quantitative</v>
      </c>
      <c r="L185" s="9" t="str">
        <v>#</v>
      </c>
      <c r="M185" s="9" t="str">
        <v>-</v>
      </c>
      <c r="N185" s="9">
        <v>1</v>
      </c>
      <c r="O185" s="9" t="str">
        <v>Lee &amp; Farzipoor Saen 2012</v>
      </c>
      <c r="P185" s="9" t="str">
        <v>Company</v>
      </c>
      <c r="Q185" s="9" t="str">
        <v>24 Manufacture of basic metals; 26 Manufacture of computer, electronic and optical products; 29 Manufacture of motor vehicles, trailers and semi-trailers</v>
      </c>
      <c r="R185" s="9" t="str">
        <v>not specified</v>
      </c>
      <c r="S185" s="9" t="str">
        <v>Large</v>
      </c>
    </row>
    <row r="186" spans="1:19" ht="51.5" customHeight="1" x14ac:dyDescent="0.35">
      <c r="A186" s="9" t="str">
        <v>21-019</v>
      </c>
      <c r="B186" s="9" t="str">
        <v>Management processes</v>
      </c>
      <c r="C186" s="9" t="str">
        <v>Policies and programs</v>
      </c>
      <c r="D186" s="9" t="str">
        <v>Management processes - Policies and programs</v>
      </c>
      <c r="E186" s="9">
        <v>0</v>
      </c>
      <c r="F186" s="9" t="str">
        <v>x</v>
      </c>
      <c r="G186" s="9" t="str">
        <v>Climate Change</v>
      </c>
      <c r="H186" s="9" t="str">
        <v>Environmental - Climate Change</v>
      </c>
      <c r="I186" s="12" t="str">
        <v>Reduction of greenhouse gas emissions</v>
      </c>
      <c r="J186" s="9" t="str">
        <v>This indicator describes practices that are established to reduce greenhouse gas emissions.</v>
      </c>
      <c r="K186" s="9" t="str">
        <v>Qualitative</v>
      </c>
      <c r="L186" s="9" t="str">
        <v>descriptive</v>
      </c>
      <c r="M186" s="9" t="str">
        <v>-</v>
      </c>
      <c r="N186" s="9">
        <v>1</v>
      </c>
      <c r="O186" s="9" t="str">
        <v>Lin et al. 2020</v>
      </c>
      <c r="P186" s="9" t="str">
        <v>Process</v>
      </c>
      <c r="Q186" s="9" t="str">
        <v>not specified</v>
      </c>
      <c r="R186" s="9" t="str">
        <v>not specified</v>
      </c>
      <c r="S186" s="9" t="str">
        <v>not specified</v>
      </c>
    </row>
    <row r="187" spans="1:19" ht="51.5" customHeight="1" x14ac:dyDescent="0.35">
      <c r="A187" s="9" t="str">
        <v>21-020</v>
      </c>
      <c r="B187" s="9" t="str">
        <v>Management processes</v>
      </c>
      <c r="C187" s="9" t="str">
        <v>Policies and programs</v>
      </c>
      <c r="D187" s="9" t="str">
        <v>Management processes - Policies and programs</v>
      </c>
      <c r="E187" s="9" t="str">
        <v>x</v>
      </c>
      <c r="F187" s="9">
        <v>0</v>
      </c>
      <c r="G187" s="9" t="str">
        <v>Other</v>
      </c>
      <c r="H187" s="9" t="str">
        <v>Economic - Other</v>
      </c>
      <c r="I187" s="12" t="str">
        <v>Achieved objectives</v>
      </c>
      <c r="J187" s="9" t="str">
        <v>This indicator measures the number of objectives/ targets achieved.</v>
      </c>
      <c r="K187" s="9" t="str">
        <v>Quantitative</v>
      </c>
      <c r="L187" s="9" t="str">
        <v>#</v>
      </c>
      <c r="M187" s="9" t="str">
        <v>-</v>
      </c>
      <c r="N187" s="9">
        <v>1</v>
      </c>
      <c r="O187" s="9" t="str">
        <v>ISO14031</v>
      </c>
      <c r="P187" s="9" t="str">
        <v>Company; Factory</v>
      </c>
      <c r="Q187" s="9" t="str">
        <v>not specified</v>
      </c>
      <c r="R187" s="9" t="str">
        <v>not specified</v>
      </c>
      <c r="S187" s="9" t="str">
        <v>not specified</v>
      </c>
    </row>
    <row r="188" spans="1:19" ht="51.5" customHeight="1" x14ac:dyDescent="0.35">
      <c r="A188" s="9" t="str">
        <v>21-021</v>
      </c>
      <c r="B188" s="9" t="str">
        <v>Management processes</v>
      </c>
      <c r="C188" s="9" t="str">
        <v>Policies and programs</v>
      </c>
      <c r="D188" s="9" t="str">
        <v>Management processes - Policies and programs</v>
      </c>
      <c r="E188" s="9" t="str">
        <v>x</v>
      </c>
      <c r="F188" s="9">
        <v>0</v>
      </c>
      <c r="G188" s="9" t="str">
        <v>Investments</v>
      </c>
      <c r="H188" s="9" t="str">
        <v>Economic - Investments</v>
      </c>
      <c r="I188" s="12" t="str">
        <v>New solutions/ techniques/ technologies implemented</v>
      </c>
      <c r="J188" s="9" t="str">
        <v>This indicator measures the number of new solutions/ techniques/ technologies implemented.</v>
      </c>
      <c r="K188" s="9" t="str">
        <v>Quantitative</v>
      </c>
      <c r="L188" s="9" t="str">
        <v>#</v>
      </c>
      <c r="M188" s="9" t="str">
        <v>-</v>
      </c>
      <c r="N188" s="9">
        <v>1</v>
      </c>
      <c r="O188" s="9" t="str">
        <v>Moldavska &amp; Welo 2018</v>
      </c>
      <c r="P188" s="9" t="str">
        <v>Company</v>
      </c>
      <c r="Q188" s="9" t="str">
        <v>22 Manufacture of rubber and plastic products; 28 Manufacture of machinery and equipment n.e.c.; 29 Manufacture of motor vehicles, trailers and semi-trailers; not specified</v>
      </c>
      <c r="R188" s="9" t="str">
        <v>not specified</v>
      </c>
      <c r="S188" s="9" t="str">
        <v>Small; Medium</v>
      </c>
    </row>
    <row r="189" spans="1:19" ht="51.5" customHeight="1" x14ac:dyDescent="0.35">
      <c r="A189" s="9" t="str">
        <v>21-022</v>
      </c>
      <c r="B189" s="9" t="str">
        <v>Management processes</v>
      </c>
      <c r="C189" s="9" t="str">
        <v>Policies and programs</v>
      </c>
      <c r="D189" s="9" t="str">
        <v>Management processes - Policies and programs</v>
      </c>
      <c r="E189" s="9" t="str">
        <v>x</v>
      </c>
      <c r="F189" s="9">
        <v>0</v>
      </c>
      <c r="G189" s="9" t="str">
        <v>Other</v>
      </c>
      <c r="H189" s="9" t="str">
        <v>Economic - Other</v>
      </c>
      <c r="I189" s="12" t="str">
        <v>Costs saved from implemented initiatives</v>
      </c>
      <c r="J189" s="9" t="str">
        <v>This indicator measures the total monetary savings achieved through implemented initiatives.</v>
      </c>
      <c r="K189" s="9" t="str">
        <v>Quantitative</v>
      </c>
      <c r="L189" s="9" t="str">
        <v>€</v>
      </c>
      <c r="M189" s="9" t="str">
        <v>-</v>
      </c>
      <c r="N189" s="9">
        <v>1</v>
      </c>
      <c r="O189" s="9" t="str">
        <v>Tan et al. 2015</v>
      </c>
      <c r="P189" s="9" t="str">
        <v>Company</v>
      </c>
      <c r="Q189" s="9" t="str">
        <v>not specified</v>
      </c>
      <c r="R189" s="9" t="str">
        <v>not specified</v>
      </c>
      <c r="S189" s="9" t="str">
        <v>Small; Medium</v>
      </c>
    </row>
    <row r="190" spans="1:19" ht="51.5" customHeight="1" x14ac:dyDescent="0.35">
      <c r="A190" s="9" t="str">
        <v>21-023</v>
      </c>
      <c r="B190" s="9" t="str">
        <v>Management processes</v>
      </c>
      <c r="C190" s="9" t="str">
        <v>Policies and programs</v>
      </c>
      <c r="D190" s="9" t="str">
        <v>Management processes - Policies and programs</v>
      </c>
      <c r="E190" s="9">
        <v>0</v>
      </c>
      <c r="F190" s="9" t="str">
        <v>x</v>
      </c>
      <c r="G190" s="9" t="str">
        <v>Climate Change</v>
      </c>
      <c r="H190" s="9" t="str">
        <v>Environmental - Climate Change</v>
      </c>
      <c r="I190" s="12" t="str">
        <v>Reduction of energy consumption</v>
      </c>
      <c r="J190" s="9" t="str">
        <v>This indicator measures the reduction of energy consumption, i.e., energy savings achieved through implemented initiatives.</v>
      </c>
      <c r="K190" s="9" t="str">
        <v>Quantitative</v>
      </c>
      <c r="L190" s="9" t="str">
        <v>J</v>
      </c>
      <c r="M190" s="9" t="str">
        <v>302-4</v>
      </c>
      <c r="N190" s="9">
        <v>7</v>
      </c>
      <c r="O190" s="9" t="str">
        <v>Akbar &amp; Irohara 2018; Fan et al. 2010; Gani et al. 2021; Li et al. 2012; Taddese et al. 2020; Tan et al. 2015; ISO14031</v>
      </c>
      <c r="P190" s="9" t="str">
        <v>Company; Factory; Production line; Work cell; Process</v>
      </c>
      <c r="Q190" s="9" t="str">
        <v>26 Manufacture of computer, electronic and optical products; not specified</v>
      </c>
      <c r="R190" s="9" t="str">
        <v>Original forming; not specified</v>
      </c>
      <c r="S190" s="9" t="str">
        <v>Small; Medium; not specified</v>
      </c>
    </row>
    <row r="191" spans="1:19" ht="51.5" customHeight="1" x14ac:dyDescent="0.35">
      <c r="A191" s="9" t="str">
        <v>21-024</v>
      </c>
      <c r="B191" s="9" t="str">
        <v>Management processes</v>
      </c>
      <c r="C191" s="9" t="str">
        <v>Policies and programs</v>
      </c>
      <c r="D191" s="9" t="str">
        <v>Management processes - Policies and programs</v>
      </c>
      <c r="E191" s="9">
        <v>0</v>
      </c>
      <c r="F191" s="9" t="str">
        <v>x</v>
      </c>
      <c r="G191" s="9" t="str">
        <v>Resource Use &amp; Circular Economy</v>
      </c>
      <c r="H191" s="9" t="str">
        <v>Environmental - Resource Use &amp; Circular Economy</v>
      </c>
      <c r="I191" s="12" t="str">
        <v>Material saved from implemented initiatives</v>
      </c>
      <c r="J191" s="9" t="str">
        <v>This indicator measures the mass of material savings achieved through implemented initiatives. (It can also be measured as the ratio of material savings to initial material required.)</v>
      </c>
      <c r="K191" s="9" t="str">
        <v>Quantitative</v>
      </c>
      <c r="L191" s="9" t="str">
        <v>unit of mass</v>
      </c>
      <c r="M191" s="9" t="str">
        <v>-</v>
      </c>
      <c r="N191" s="9">
        <v>2</v>
      </c>
      <c r="O191" s="9" t="str">
        <v>Akbar &amp; Irohara 2018; Tan et al. 2015</v>
      </c>
      <c r="P191" s="9" t="str">
        <v>Company; Production line; Work cell; Process</v>
      </c>
      <c r="Q191" s="9" t="str">
        <v>not specified</v>
      </c>
      <c r="R191" s="9" t="str">
        <v>not specified</v>
      </c>
      <c r="S191" s="9" t="str">
        <v>Small; Medium; not specified</v>
      </c>
    </row>
    <row r="192" spans="1:19" ht="51.5" customHeight="1" x14ac:dyDescent="0.35">
      <c r="A192" s="9" t="str">
        <v>21-025</v>
      </c>
      <c r="B192" s="9" t="str">
        <v>Management processes</v>
      </c>
      <c r="C192" s="9" t="str">
        <v>Policies and programs</v>
      </c>
      <c r="D192" s="9" t="str">
        <v>Management processes - Policies and programs</v>
      </c>
      <c r="E192" s="9">
        <v>0</v>
      </c>
      <c r="F192" s="9" t="str">
        <v>x</v>
      </c>
      <c r="G192" s="9" t="str">
        <v>Climate Change</v>
      </c>
      <c r="H192" s="9" t="str">
        <v>Environmental - Climate Change</v>
      </c>
      <c r="I192" s="12" t="str">
        <v xml:space="preserve">Fuel saved from implemented initiatives </v>
      </c>
      <c r="J192" s="9" t="str">
        <v>This indicator measures (vehicle) fuel savings achieved through implemented initiatives. (It can also be measured as the ratio of fuel savings to initial fuel required.)</v>
      </c>
      <c r="K192" s="9" t="str">
        <v>Quantitative</v>
      </c>
      <c r="L192" s="9" t="str">
        <v>L</v>
      </c>
      <c r="M192" s="9" t="str">
        <v>-</v>
      </c>
      <c r="N192" s="9">
        <v>1</v>
      </c>
      <c r="O192" s="9" t="str">
        <v>Tan et al. 2015</v>
      </c>
      <c r="P192" s="9" t="str">
        <v>Company</v>
      </c>
      <c r="Q192" s="9" t="str">
        <v>not specified</v>
      </c>
      <c r="R192" s="9" t="str">
        <v>not specified</v>
      </c>
      <c r="S192" s="9" t="str">
        <v>Small; Medium</v>
      </c>
    </row>
    <row r="193" spans="1:19" ht="51.5" customHeight="1" x14ac:dyDescent="0.35">
      <c r="A193" s="9" t="str">
        <v>21-026</v>
      </c>
      <c r="B193" s="9" t="str">
        <v>Management processes</v>
      </c>
      <c r="C193" s="9" t="str">
        <v>Policies and programs</v>
      </c>
      <c r="D193" s="9" t="str">
        <v>Management processes - Policies and programs</v>
      </c>
      <c r="E193" s="9">
        <v>0</v>
      </c>
      <c r="F193" s="9" t="str">
        <v>x</v>
      </c>
      <c r="G193" s="9" t="str">
        <v>Other</v>
      </c>
      <c r="H193" s="9" t="str">
        <v>Environmental - Other</v>
      </c>
      <c r="I193" s="12" t="str">
        <v>Employee training on environmental issues</v>
      </c>
      <c r="J193" s="9" t="str">
        <v>This indicator measures the number of trainings on environmental issues attended by employees.</v>
      </c>
      <c r="K193" s="9" t="str">
        <v>Quantitative</v>
      </c>
      <c r="L193" s="9" t="str">
        <v>#</v>
      </c>
      <c r="M193" s="9" t="str">
        <v>-</v>
      </c>
      <c r="N193" s="9">
        <v>1</v>
      </c>
      <c r="O193" s="9" t="str">
        <v>Rao et al. 2006</v>
      </c>
      <c r="P193" s="9" t="str">
        <v>Company</v>
      </c>
      <c r="Q193" s="9" t="str">
        <v>25 Manufacture of fabricated metal products, except machinery and equipment; 29 Manufacture of motor vehicles, trailers and semi-trailers; 31 Manufacture of furniture; 32 Other manufacturing</v>
      </c>
      <c r="R193" s="9" t="str">
        <v>not specified</v>
      </c>
      <c r="S193" s="9" t="str">
        <v>Small; Medium</v>
      </c>
    </row>
    <row r="194" spans="1:19" ht="51.5" customHeight="1" x14ac:dyDescent="0.35">
      <c r="A194" s="9" t="str">
        <v>21-027</v>
      </c>
      <c r="B194" s="9" t="str">
        <v>Management processes</v>
      </c>
      <c r="C194" s="9" t="str">
        <v>Policies and programs</v>
      </c>
      <c r="D194" s="9" t="str">
        <v>Management processes - Policies and programs</v>
      </c>
      <c r="E194" s="9">
        <v>0</v>
      </c>
      <c r="F194" s="9" t="str">
        <v>x</v>
      </c>
      <c r="G194" s="9" t="str">
        <v>Other</v>
      </c>
      <c r="H194" s="9" t="str">
        <v>Environmental - Other</v>
      </c>
      <c r="I194" s="12" t="str">
        <v>Employee environmental suggestions</v>
      </c>
      <c r="J194" s="9" t="str">
        <v>This indicator measures the number of employee suggestions regarding environmental matters.</v>
      </c>
      <c r="K194" s="9" t="str">
        <v>Quantitative</v>
      </c>
      <c r="L194" s="9" t="str">
        <v>#</v>
      </c>
      <c r="M194" s="9" t="str">
        <v>-</v>
      </c>
      <c r="N194" s="9">
        <v>1</v>
      </c>
      <c r="O194" s="9" t="str">
        <v>ISO14031</v>
      </c>
      <c r="P194" s="9" t="str">
        <v>Company; Factory</v>
      </c>
      <c r="Q194" s="9" t="str">
        <v>not specified</v>
      </c>
      <c r="R194" s="9" t="str">
        <v>not specified</v>
      </c>
      <c r="S194" s="9" t="str">
        <v>not specified</v>
      </c>
    </row>
    <row r="195" spans="1:19" ht="51.5" customHeight="1" x14ac:dyDescent="0.35">
      <c r="A195" s="9" t="str">
        <v>21-028</v>
      </c>
      <c r="B195" s="9" t="str">
        <v>Management processes</v>
      </c>
      <c r="C195" s="9" t="str">
        <v>Policies and programs</v>
      </c>
      <c r="D195" s="9" t="str">
        <v>Management processes - Policies and programs</v>
      </c>
      <c r="E195" s="9">
        <v>0</v>
      </c>
      <c r="F195" s="9" t="str">
        <v>x</v>
      </c>
      <c r="G195" s="9" t="str">
        <v>Other</v>
      </c>
      <c r="H195" s="9" t="str">
        <v>Environmental - Other</v>
      </c>
      <c r="I195" s="12" t="str">
        <v>Employee environmental surveys</v>
      </c>
      <c r="J195" s="9" t="str">
        <v>This indicator describes the results of employee surveys on their knowledge of the organization's environmental issues.</v>
      </c>
      <c r="K195" s="9" t="str">
        <v>Qualitative</v>
      </c>
      <c r="L195" s="9" t="str">
        <v>descriptive</v>
      </c>
      <c r="M195" s="9" t="str">
        <v>-</v>
      </c>
      <c r="N195" s="9">
        <v>1</v>
      </c>
      <c r="O195" s="9" t="str">
        <v>ISO14031</v>
      </c>
      <c r="P195" s="9" t="str">
        <v>Company; Factory</v>
      </c>
      <c r="Q195" s="9" t="str">
        <v>not specified</v>
      </c>
      <c r="R195" s="9" t="str">
        <v>not specified</v>
      </c>
      <c r="S195" s="9" t="str">
        <v>not specified</v>
      </c>
    </row>
    <row r="196" spans="1:19" ht="51.5" customHeight="1" x14ac:dyDescent="0.35">
      <c r="A196" s="9" t="str">
        <v>22-001</v>
      </c>
      <c r="B196" s="9" t="str">
        <v>Management processes</v>
      </c>
      <c r="C196" s="9" t="str">
        <v>Regulatory compliance</v>
      </c>
      <c r="D196" s="9" t="str">
        <v>Management processes - Regulatory compliance</v>
      </c>
      <c r="E196" s="9">
        <v>0</v>
      </c>
      <c r="F196" s="9" t="str">
        <v>x</v>
      </c>
      <c r="G196" s="9" t="str">
        <v>Other</v>
      </c>
      <c r="H196" s="9" t="str">
        <v>Environmental - Other</v>
      </c>
      <c r="I196" s="12" t="str">
        <v>Overall compliance with laws and regulations</v>
      </c>
      <c r="J196" s="9" t="str">
        <v>This indicator relates to the overall compliance with laws and regulations, particularly environmental compliance. (yes / no, or description of any incidents)</v>
      </c>
      <c r="K196" s="9" t="str">
        <v>Qualitative</v>
      </c>
      <c r="L196" s="9" t="str">
        <v>descriptive</v>
      </c>
      <c r="M196" s="9" t="str">
        <v>-</v>
      </c>
      <c r="N196" s="9">
        <v>5</v>
      </c>
      <c r="O196" s="9" t="str">
        <v>Feil et al. 2017; Gani et al. 2021; Hartini et al. 2020; Pinto et al. 2020; ISO14031</v>
      </c>
      <c r="P196" s="9" t="str">
        <v>Company; Factory</v>
      </c>
      <c r="Q196" s="9" t="str">
        <v>29 Manufacture of motor vehicles, trailers and semi-trailers; 31 Manufacture of furniture; not specified</v>
      </c>
      <c r="R196" s="9" t="str">
        <v>Separating; Joining; Coating and finishing; not specified</v>
      </c>
      <c r="S196" s="9" t="str">
        <v>Micro; Small; Medium; not specified</v>
      </c>
    </row>
    <row r="197" spans="1:19" ht="51.5" customHeight="1" x14ac:dyDescent="0.35">
      <c r="A197" s="9" t="str">
        <v>22-002</v>
      </c>
      <c r="B197" s="9" t="str">
        <v>Management processes</v>
      </c>
      <c r="C197" s="9" t="str">
        <v>Regulatory compliance</v>
      </c>
      <c r="D197" s="9" t="str">
        <v>Management processes - Regulatory compliance</v>
      </c>
      <c r="E197" s="9">
        <v>0</v>
      </c>
      <c r="F197" s="9" t="str">
        <v>x</v>
      </c>
      <c r="G197" s="9" t="str">
        <v>Other</v>
      </c>
      <c r="H197" s="9" t="str">
        <v>Environmental - Other</v>
      </c>
      <c r="I197" s="12" t="str">
        <v>Notices of environmental non-compliance</v>
      </c>
      <c r="J197" s="9" t="str">
        <v>This indicator measures the number of notices for environmental non-compliance, e.g., for emissions generated.</v>
      </c>
      <c r="K197" s="9" t="str">
        <v>Quantitative</v>
      </c>
      <c r="L197" s="9" t="str">
        <v>#</v>
      </c>
      <c r="M197" s="9" t="str">
        <v>-</v>
      </c>
      <c r="N197" s="9">
        <v>4</v>
      </c>
      <c r="O197" s="9" t="str">
        <v>Dočekalová &amp; Kocmanová 2016; Huang &amp; Badurdeen 2018; Park &amp; Kremer 2017; Veleva et al. 2001</v>
      </c>
      <c r="P197" s="9" t="str">
        <v>Company; Factory; Production line</v>
      </c>
      <c r="Q197" s="9" t="str">
        <v>26 Manufacture of computer, electronic and optical products; 27 Manufacture of electrical equipment; not specified</v>
      </c>
      <c r="R197" s="9" t="str">
        <v>Original forming; Joining; Coating and finishing; Change of material properties; not specified</v>
      </c>
      <c r="S197" s="9" t="str">
        <v>Large; not specified</v>
      </c>
    </row>
    <row r="198" spans="1:19" ht="51.5" customHeight="1" x14ac:dyDescent="0.35">
      <c r="A198" s="9" t="str">
        <v>22-003</v>
      </c>
      <c r="B198" s="9" t="str">
        <v>Management processes</v>
      </c>
      <c r="C198" s="9" t="str">
        <v>Regulatory compliance</v>
      </c>
      <c r="D198" s="9" t="str">
        <v>Management processes - Regulatory compliance</v>
      </c>
      <c r="E198" s="9">
        <v>0</v>
      </c>
      <c r="F198" s="9" t="str">
        <v>x</v>
      </c>
      <c r="G198" s="9" t="str">
        <v>Other</v>
      </c>
      <c r="H198" s="9" t="str">
        <v>Environmental - Other</v>
      </c>
      <c r="I198" s="12" t="str">
        <v>Nonmonetary sanctions (environmental compliance)</v>
      </c>
      <c r="J198" s="9" t="str">
        <v>This indicator measures the number of nonmonetary sanctions for noncompliance with environmental regulations.</v>
      </c>
      <c r="K198" s="9" t="str">
        <v>Quantitative</v>
      </c>
      <c r="L198" s="9" t="str">
        <v>#</v>
      </c>
      <c r="M198" s="9" t="str">
        <v>-</v>
      </c>
      <c r="N198" s="9">
        <v>1</v>
      </c>
      <c r="O198" s="9" t="str">
        <v>Taddese et al. 2020</v>
      </c>
      <c r="P198" s="9" t="str">
        <v>Process</v>
      </c>
      <c r="Q198" s="9" t="str">
        <v>not specified</v>
      </c>
      <c r="R198" s="9" t="str">
        <v>Original forming</v>
      </c>
      <c r="S198" s="9" t="str">
        <v>not specified</v>
      </c>
    </row>
    <row r="199" spans="1:19" ht="51.5" customHeight="1" x14ac:dyDescent="0.35">
      <c r="A199" s="9" t="str">
        <v>22-004</v>
      </c>
      <c r="B199" s="9" t="str">
        <v>Management processes</v>
      </c>
      <c r="C199" s="9" t="str">
        <v>Regulatory compliance</v>
      </c>
      <c r="D199" s="9" t="str">
        <v>Management processes - Regulatory compliance</v>
      </c>
      <c r="E199" s="9">
        <v>0</v>
      </c>
      <c r="F199" s="9" t="str">
        <v>x</v>
      </c>
      <c r="G199" s="9" t="str">
        <v>Resource Use &amp; Circular Economy</v>
      </c>
      <c r="H199" s="9" t="str">
        <v>Environmental - Resource Use &amp; Circular Economy</v>
      </c>
      <c r="I199" s="12" t="str">
        <v>Notices of violation for hazardous material usage</v>
      </c>
      <c r="J199" s="9" t="str">
        <v>This indicator measures the number of notices of violation for hazardous material usage.</v>
      </c>
      <c r="K199" s="9" t="str">
        <v>Quantitative</v>
      </c>
      <c r="L199" s="9" t="str">
        <v>#</v>
      </c>
      <c r="M199" s="9" t="str">
        <v>-</v>
      </c>
      <c r="N199" s="9">
        <v>1</v>
      </c>
      <c r="O199" s="9" t="str">
        <v>Huang &amp; Badurdeen 2018</v>
      </c>
      <c r="P199" s="9" t="str">
        <v>Factory; Production line</v>
      </c>
      <c r="Q199" s="9" t="str">
        <v>26 Manufacture of computer, electronic and optical products</v>
      </c>
      <c r="R199" s="9" t="str">
        <v>Original forming; Joining; Coating and finishing; Change of material properties</v>
      </c>
      <c r="S199" s="9" t="str">
        <v>not specified</v>
      </c>
    </row>
    <row r="200" spans="1:19" ht="51.5" customHeight="1" x14ac:dyDescent="0.35">
      <c r="A200" s="9" t="str">
        <v>22-005</v>
      </c>
      <c r="B200" s="9" t="str">
        <v>Management processes</v>
      </c>
      <c r="C200" s="9" t="str">
        <v>Regulatory compliance</v>
      </c>
      <c r="D200" s="9" t="str">
        <v>Management processes - Regulatory compliance</v>
      </c>
      <c r="E200" s="9">
        <v>0</v>
      </c>
      <c r="F200" s="9" t="str">
        <v>x</v>
      </c>
      <c r="G200" s="9" t="str">
        <v>Resource Use &amp; Circular Economy</v>
      </c>
      <c r="H200" s="9" t="str">
        <v>Environmental - Resource Use &amp; Circular Economy</v>
      </c>
      <c r="I200" s="12" t="str">
        <v>Notices of violation for waste generated</v>
      </c>
      <c r="J200" s="9" t="str">
        <v>This indicator measures the number of notices of violation for waste generated.</v>
      </c>
      <c r="K200" s="9" t="str">
        <v>Quantitative</v>
      </c>
      <c r="L200" s="9" t="str">
        <v>#</v>
      </c>
      <c r="M200" s="9" t="str">
        <v>-</v>
      </c>
      <c r="N200" s="9">
        <v>1</v>
      </c>
      <c r="O200" s="9" t="str">
        <v>Huang &amp; Badurdeen 2018</v>
      </c>
      <c r="P200" s="9" t="str">
        <v>Factory; Production line</v>
      </c>
      <c r="Q200" s="9" t="str">
        <v>26 Manufacture of computer, electronic and optical products</v>
      </c>
      <c r="R200" s="9" t="str">
        <v>Original forming; Joining; Coating and finishing; Change of material properties</v>
      </c>
      <c r="S200" s="9" t="str">
        <v>not specified</v>
      </c>
    </row>
    <row r="201" spans="1:19" ht="51.5" customHeight="1" x14ac:dyDescent="0.35">
      <c r="A201" s="9" t="str">
        <v>22-006</v>
      </c>
      <c r="B201" s="9" t="str">
        <v>Management processes</v>
      </c>
      <c r="C201" s="9" t="str">
        <v>Regulatory compliance</v>
      </c>
      <c r="D201" s="9" t="str">
        <v>Management processes - Regulatory compliance</v>
      </c>
      <c r="E201" s="9">
        <v>0</v>
      </c>
      <c r="F201" s="9" t="str">
        <v>x</v>
      </c>
      <c r="G201" s="9" t="str">
        <v>Other</v>
      </c>
      <c r="H201" s="9" t="str">
        <v>Environmental - Other</v>
      </c>
      <c r="I201" s="12" t="str">
        <v>Time to respond to environmental incidents</v>
      </c>
      <c r="J201" s="9" t="str">
        <v>This indicator measures the time needed to respond to environmental incidents.</v>
      </c>
      <c r="K201" s="9" t="str">
        <v>Quantitative</v>
      </c>
      <c r="L201" s="9" t="str">
        <v>unit of time</v>
      </c>
      <c r="M201" s="9" t="str">
        <v>-</v>
      </c>
      <c r="N201" s="9">
        <v>1</v>
      </c>
      <c r="O201" s="9" t="str">
        <v>ISO14031</v>
      </c>
      <c r="P201" s="9" t="str">
        <v>Company; Factory</v>
      </c>
      <c r="Q201" s="9" t="str">
        <v>not specified</v>
      </c>
      <c r="R201" s="9" t="str">
        <v>not specified</v>
      </c>
      <c r="S201" s="9" t="str">
        <v>not specified</v>
      </c>
    </row>
    <row r="202" spans="1:19" ht="51.5" customHeight="1" x14ac:dyDescent="0.35">
      <c r="A202" s="9" t="str">
        <v>22-007</v>
      </c>
      <c r="B202" s="9" t="str">
        <v>Management processes</v>
      </c>
      <c r="C202" s="9" t="str">
        <v>Regulatory compliance</v>
      </c>
      <c r="D202" s="9" t="str">
        <v>Management processes - Regulatory compliance</v>
      </c>
      <c r="E202" s="9">
        <v>0</v>
      </c>
      <c r="F202" s="9" t="str">
        <v>x</v>
      </c>
      <c r="G202" s="9" t="str">
        <v>Other</v>
      </c>
      <c r="H202" s="9" t="str">
        <v>Environmental - Other</v>
      </c>
      <c r="I202" s="12" t="str">
        <v>Costs associated with compliance</v>
      </c>
      <c r="J202" s="9" t="str">
        <v>This indicator measures the costs incurred to adhere to laws and regulations.</v>
      </c>
      <c r="K202" s="9" t="str">
        <v>Quantitative</v>
      </c>
      <c r="L202" s="9" t="str">
        <v>€</v>
      </c>
      <c r="M202" s="9" t="str">
        <v>-</v>
      </c>
      <c r="N202" s="9">
        <v>1</v>
      </c>
      <c r="O202" s="9" t="str">
        <v>Cagno et al. 2019</v>
      </c>
      <c r="P202" s="9" t="str">
        <v>Company</v>
      </c>
      <c r="Q202" s="9" t="str">
        <v>13 Manufacture of textiles; 24 Manufacture of basic metals; 28 Manufacture of machinery and equipment n.e.c.; 31 Manufacture of furniture</v>
      </c>
      <c r="R202" s="9" t="str">
        <v>not specified</v>
      </c>
      <c r="S202" s="9" t="str">
        <v>Small; Medium; Large</v>
      </c>
    </row>
    <row r="203" spans="1:19" ht="51.5" customHeight="1" x14ac:dyDescent="0.35">
      <c r="A203" s="9" t="str">
        <v>22-008</v>
      </c>
      <c r="B203" s="9" t="str">
        <v>Management processes</v>
      </c>
      <c r="C203" s="9" t="str">
        <v>Regulatory compliance</v>
      </c>
      <c r="D203" s="9" t="str">
        <v>Management processes - Regulatory compliance</v>
      </c>
      <c r="E203" s="9">
        <v>0</v>
      </c>
      <c r="F203" s="9" t="str">
        <v>x</v>
      </c>
      <c r="G203" s="9" t="str">
        <v>Other</v>
      </c>
      <c r="H203" s="9" t="str">
        <v>Environmental - Other</v>
      </c>
      <c r="I203" s="12" t="str">
        <v>Costs associated with EHS compliance</v>
      </c>
      <c r="J203" s="9" t="str">
        <v>This indicator measures the costs associated with EHS compliance. It includes, e.g., worker compensation or costs for waste disposal.</v>
      </c>
      <c r="K203" s="9" t="str">
        <v>Quantitative</v>
      </c>
      <c r="L203" s="9" t="str">
        <v>€</v>
      </c>
      <c r="M203" s="9" t="str">
        <v>-</v>
      </c>
      <c r="N203" s="9">
        <v>3</v>
      </c>
      <c r="O203" s="9" t="str">
        <v>Fan et al. 2010; Li et al. 2012; Madanchi et al. 2019</v>
      </c>
      <c r="P203" s="9" t="str">
        <v>Company; Factory</v>
      </c>
      <c r="Q203" s="9" t="str">
        <v>26 Manufacture of computer, electronic and optical products; 29 Manufacture of motor vehicles, trailers and semi-trailers; not specified</v>
      </c>
      <c r="R203" s="9" t="str">
        <v>not specified</v>
      </c>
      <c r="S203" s="9" t="str">
        <v>Large; not specified</v>
      </c>
    </row>
    <row r="204" spans="1:19" ht="51.5" customHeight="1" x14ac:dyDescent="0.35">
      <c r="A204" s="9" t="str">
        <v>22-009</v>
      </c>
      <c r="B204" s="9" t="str">
        <v>Management processes</v>
      </c>
      <c r="C204" s="9" t="str">
        <v>Regulatory compliance</v>
      </c>
      <c r="D204" s="9" t="str">
        <v>Management processes - Regulatory compliance</v>
      </c>
      <c r="E204" s="9" t="str">
        <v>x</v>
      </c>
      <c r="F204" s="9">
        <v>0</v>
      </c>
      <c r="G204" s="9" t="str">
        <v>Cost</v>
      </c>
      <c r="H204" s="9" t="str">
        <v>Economic - Cost</v>
      </c>
      <c r="I204" s="12" t="str">
        <v>Fines for non-compliance</v>
      </c>
      <c r="J204" s="9" t="str">
        <v>This indicator measures the sum of fines for non-compliance, e.g., related to EHS, economic, environmental, or social compliance.</v>
      </c>
      <c r="K204" s="9" t="str">
        <v>Quantitative</v>
      </c>
      <c r="L204" s="9" t="str">
        <v>€</v>
      </c>
      <c r="M204" s="9" t="str">
        <v>-</v>
      </c>
      <c r="N204" s="9">
        <v>3</v>
      </c>
      <c r="O204" s="9" t="str">
        <v>Cagno et al. 2019; Cagno et al. 2023; Dočekalová &amp; Kocmanová 2016</v>
      </c>
      <c r="P204" s="9" t="str">
        <v>Company</v>
      </c>
      <c r="Q204" s="9" t="str">
        <v>13 Manufacture of textiles; 23 Manufacture of other non-metallic mineral products; 24 Manufacture of basic metals; 27 Manufacture of electrical equipment; 28 Manufacture of machinery and equipment n.e.c.; 29 Manufacture of motor vehicles, trailers and semi-trailers; 31 Manufacture of furniture</v>
      </c>
      <c r="R204" s="9" t="str">
        <v>not specified</v>
      </c>
      <c r="S204" s="9" t="str">
        <v>Small; Medium; Large</v>
      </c>
    </row>
    <row r="205" spans="1:19" ht="51.5" customHeight="1" x14ac:dyDescent="0.35">
      <c r="A205" s="9" t="str">
        <v>22-010</v>
      </c>
      <c r="B205" s="9" t="str">
        <v>Management processes</v>
      </c>
      <c r="C205" s="9" t="str">
        <v>Regulatory compliance</v>
      </c>
      <c r="D205" s="9" t="str">
        <v>Management processes - Regulatory compliance</v>
      </c>
      <c r="E205" s="9">
        <v>0</v>
      </c>
      <c r="F205" s="9" t="str">
        <v>x</v>
      </c>
      <c r="G205" s="9" t="str">
        <v>Other</v>
      </c>
      <c r="H205" s="9" t="str">
        <v>Environmental - Other</v>
      </c>
      <c r="I205" s="12" t="str">
        <v>Fines for environmental non-compliance</v>
      </c>
      <c r="J205" s="9" t="str">
        <v>This indicator measures the fines for non-compliance with environmental laws and regulations.</v>
      </c>
      <c r="K205" s="9" t="str">
        <v>Quantitative</v>
      </c>
      <c r="L205" s="9" t="str">
        <v>€</v>
      </c>
      <c r="M205" s="9" t="str">
        <v>-</v>
      </c>
      <c r="N205" s="9">
        <v>5</v>
      </c>
      <c r="O205" s="9" t="str">
        <v>Cagno et al. 2019; Dočekalová &amp; Kocmanová 2016; Feil et al. 2019; Taddese et al. 2020; Veleva et al. 2001</v>
      </c>
      <c r="P205" s="9" t="str">
        <v>Company; Factory; Process</v>
      </c>
      <c r="Q205" s="9" t="str">
        <v>13 Manufacture of textiles; 24 Manufacture of basic metals; 27 Manufacture of electrical equipment; 28 Manufacture of machinery and equipment n.e.c.; 31 Manufacture of furniture; not specified</v>
      </c>
      <c r="R205" s="9" t="str">
        <v>Original forming; not specified</v>
      </c>
      <c r="S205" s="9" t="str">
        <v>Small; Medium; Large; not specified</v>
      </c>
    </row>
    <row r="206" spans="1:19" ht="51.5" customHeight="1" x14ac:dyDescent="0.35">
      <c r="A206" s="9" t="str">
        <v>22-011</v>
      </c>
      <c r="B206" s="9" t="str">
        <v>Management processes</v>
      </c>
      <c r="C206" s="9" t="str">
        <v>Regulatory compliance</v>
      </c>
      <c r="D206" s="9" t="str">
        <v>Management processes - Regulatory compliance</v>
      </c>
      <c r="E206" s="9">
        <v>0</v>
      </c>
      <c r="F206" s="9" t="str">
        <v>x</v>
      </c>
      <c r="G206" s="9" t="str">
        <v>Other</v>
      </c>
      <c r="H206" s="9" t="str">
        <v>Environmental - Other</v>
      </c>
      <c r="I206" s="12" t="str">
        <v>Frequency of review of operating procedures</v>
      </c>
      <c r="J206" s="9" t="str">
        <v>This indicator measures how often operating procedures are reviewed.</v>
      </c>
      <c r="K206" s="9" t="str">
        <v>Quantitative</v>
      </c>
      <c r="L206" s="9" t="str">
        <v>#/unit of time</v>
      </c>
      <c r="M206" s="9" t="str">
        <v>-</v>
      </c>
      <c r="N206" s="9">
        <v>1</v>
      </c>
      <c r="O206" s="9" t="str">
        <v>ISO14031</v>
      </c>
      <c r="P206" s="9" t="str">
        <v>Company; Factory</v>
      </c>
      <c r="Q206" s="9" t="str">
        <v>not specified</v>
      </c>
      <c r="R206" s="9" t="str">
        <v>not specified</v>
      </c>
      <c r="S206" s="9" t="str">
        <v>not specified</v>
      </c>
    </row>
    <row r="207" spans="1:19" ht="51.5" customHeight="1" x14ac:dyDescent="0.35">
      <c r="A207" s="9" t="str">
        <v>22-012</v>
      </c>
      <c r="B207" s="9" t="str">
        <v>Management processes</v>
      </c>
      <c r="C207" s="9" t="str">
        <v>Regulatory compliance</v>
      </c>
      <c r="D207" s="9" t="str">
        <v>Management processes - Regulatory compliance</v>
      </c>
      <c r="E207" s="9">
        <v>0</v>
      </c>
      <c r="F207" s="9" t="str">
        <v>x</v>
      </c>
      <c r="G207" s="9" t="str">
        <v>Other</v>
      </c>
      <c r="H207" s="9" t="str">
        <v>Environmental - Other</v>
      </c>
      <c r="I207" s="12" t="str">
        <v>Frequency of emergency drills conducted</v>
      </c>
      <c r="J207" s="9" t="str">
        <v>This indicator measures how often emergency drills are conducted.</v>
      </c>
      <c r="K207" s="9" t="str">
        <v>Quantitative</v>
      </c>
      <c r="L207" s="9" t="str">
        <v>#/unit of time</v>
      </c>
      <c r="M207" s="9" t="str">
        <v>-</v>
      </c>
      <c r="N207" s="9">
        <v>1</v>
      </c>
      <c r="O207" s="9" t="str">
        <v>ISO14031</v>
      </c>
      <c r="P207" s="9" t="str">
        <v>Company; Factory</v>
      </c>
      <c r="Q207" s="9" t="str">
        <v>not specified</v>
      </c>
      <c r="R207" s="9" t="str">
        <v>not specified</v>
      </c>
      <c r="S207" s="9" t="str">
        <v>not specified</v>
      </c>
    </row>
    <row r="208" spans="1:19" ht="51.5" customHeight="1" x14ac:dyDescent="0.35">
      <c r="A208" s="9" t="str">
        <v>22-013</v>
      </c>
      <c r="B208" s="9" t="str">
        <v>Management processes</v>
      </c>
      <c r="C208" s="9" t="str">
        <v>Regulatory compliance</v>
      </c>
      <c r="D208" s="9" t="str">
        <v>Management processes - Regulatory compliance</v>
      </c>
      <c r="E208" s="9">
        <v>0</v>
      </c>
      <c r="F208" s="9" t="str">
        <v>x</v>
      </c>
      <c r="G208" s="9" t="str">
        <v>Resource Use &amp; Circular Economy</v>
      </c>
      <c r="H208" s="9" t="str">
        <v>Environmental - Resource Use &amp; Circular Economy</v>
      </c>
      <c r="I208" s="12" t="str">
        <v>Hazardous material training</v>
      </c>
      <c r="J208" s="9" t="str">
        <v>This indicator measures the number of employees receiving hazardous material training.</v>
      </c>
      <c r="K208" s="9" t="str">
        <v>Quantitative</v>
      </c>
      <c r="L208" s="9" t="str">
        <v>#</v>
      </c>
      <c r="M208" s="9" t="str">
        <v>-</v>
      </c>
      <c r="N208" s="9">
        <v>1</v>
      </c>
      <c r="O208" s="9" t="str">
        <v>Veleva et al. 2001</v>
      </c>
      <c r="P208" s="9" t="str">
        <v>Company; Factory</v>
      </c>
      <c r="Q208" s="9" t="str">
        <v>not specified</v>
      </c>
      <c r="R208" s="9" t="str">
        <v>not specified</v>
      </c>
      <c r="S208" s="9" t="str">
        <v>not specified</v>
      </c>
    </row>
    <row r="209" spans="1:19" ht="51.5" customHeight="1" x14ac:dyDescent="0.35">
      <c r="A209" s="9" t="str">
        <v>22-014</v>
      </c>
      <c r="B209" s="9" t="str">
        <v>Management processes</v>
      </c>
      <c r="C209" s="9" t="str">
        <v>Regulatory compliance</v>
      </c>
      <c r="D209" s="9" t="str">
        <v>Management processes - Regulatory compliance</v>
      </c>
      <c r="E209" s="9">
        <v>0</v>
      </c>
      <c r="F209" s="9" t="str">
        <v>x</v>
      </c>
      <c r="G209" s="9" t="str">
        <v>Other</v>
      </c>
      <c r="H209" s="9" t="str">
        <v>Environmental - Other</v>
      </c>
      <c r="I209" s="12" t="str">
        <v>Number of audits</v>
      </c>
      <c r="J209" s="9" t="str">
        <v>This indicator measures the number of audits.</v>
      </c>
      <c r="K209" s="9" t="str">
        <v>Quantitative</v>
      </c>
      <c r="L209" s="9" t="str">
        <v>#</v>
      </c>
      <c r="M209" s="9" t="str">
        <v>-</v>
      </c>
      <c r="N209" s="9">
        <v>1</v>
      </c>
      <c r="O209" s="9" t="str">
        <v>ISO14031</v>
      </c>
      <c r="P209" s="9" t="str">
        <v>Company; Factory</v>
      </c>
      <c r="Q209" s="9" t="str">
        <v>not specified</v>
      </c>
      <c r="R209" s="9" t="str">
        <v>not specified</v>
      </c>
      <c r="S209" s="9" t="str">
        <v>not specified</v>
      </c>
    </row>
    <row r="210" spans="1:19" ht="51.5" customHeight="1" x14ac:dyDescent="0.35">
      <c r="A210" s="9" t="str">
        <v>22-015</v>
      </c>
      <c r="B210" s="9" t="str">
        <v>Management processes</v>
      </c>
      <c r="C210" s="9" t="str">
        <v>Regulatory compliance</v>
      </c>
      <c r="D210" s="9" t="str">
        <v>Management processes - Regulatory compliance</v>
      </c>
      <c r="E210" s="9">
        <v>0</v>
      </c>
      <c r="F210" s="9" t="str">
        <v>x</v>
      </c>
      <c r="G210" s="9" t="str">
        <v>Other</v>
      </c>
      <c r="H210" s="9" t="str">
        <v>Environmental - Other</v>
      </c>
      <c r="I210" s="12" t="str">
        <v>Corrective actions</v>
      </c>
      <c r="J210" s="9" t="str">
        <v>This indicator measures the percentage of identified corrective actions that have been resolved or that are unresolved.</v>
      </c>
      <c r="K210" s="9" t="str">
        <v>Quantitative</v>
      </c>
      <c r="L210" s="9" t="str">
        <v>%</v>
      </c>
      <c r="M210" s="9" t="str">
        <v>-</v>
      </c>
      <c r="N210" s="9">
        <v>1</v>
      </c>
      <c r="O210" s="9" t="str">
        <v>ISO14031</v>
      </c>
      <c r="P210" s="9" t="str">
        <v>Company; Factory</v>
      </c>
      <c r="Q210" s="9" t="str">
        <v>not specified</v>
      </c>
      <c r="R210" s="9" t="str">
        <v>not specified</v>
      </c>
      <c r="S210" s="9" t="str">
        <v>not specified</v>
      </c>
    </row>
    <row r="211" spans="1:19" ht="51.5" customHeight="1" x14ac:dyDescent="0.35">
      <c r="A211" s="9" t="str">
        <v>23-001</v>
      </c>
      <c r="B211" s="9" t="str">
        <v>Management processes</v>
      </c>
      <c r="C211" s="9" t="str">
        <v>Financial performance</v>
      </c>
      <c r="D211" s="9" t="str">
        <v>Management processes - Financial performance</v>
      </c>
      <c r="E211" s="9" t="str">
        <v>x</v>
      </c>
      <c r="F211" s="9">
        <v>0</v>
      </c>
      <c r="G211" s="9" t="str">
        <v>Cost</v>
      </c>
      <c r="H211" s="9" t="str">
        <v>Economic - Cost</v>
      </c>
      <c r="I211" s="12" t="str">
        <v>Costs</v>
      </c>
      <c r="J211" s="9" t="str">
        <v>This indicator measures the total sum of costs.</v>
      </c>
      <c r="K211" s="9" t="str">
        <v>Quantitative</v>
      </c>
      <c r="L211" s="9" t="str">
        <v>€</v>
      </c>
      <c r="M211" s="9" t="str">
        <v>-</v>
      </c>
      <c r="N211" s="9">
        <v>5</v>
      </c>
      <c r="O211" s="9" t="str">
        <v>Dočekalová &amp; Kocmanová 2016; Lee et al. 2014; Saxena et al. 2020; Singh et al. 2014; Taddese et al. 2020</v>
      </c>
      <c r="P211" s="9" t="str">
        <v>Company; Factory; Production line; Process</v>
      </c>
      <c r="Q211" s="9" t="str">
        <v>27 Manufacture of electrical equipment; 29 Manufacture of motor vehicles, trailers and semi-trailers; not specified</v>
      </c>
      <c r="R211" s="9" t="str">
        <v>Original forming; Transforming; Separating; Joining; Change of material properties; not specified</v>
      </c>
      <c r="S211" s="9" t="str">
        <v>Small; Medium; Large; not specified</v>
      </c>
    </row>
    <row r="212" spans="1:19" ht="51.5" customHeight="1" x14ac:dyDescent="0.35">
      <c r="A212" s="9" t="str">
        <v>23-002</v>
      </c>
      <c r="B212" s="9" t="str">
        <v>Management processes</v>
      </c>
      <c r="C212" s="9" t="str">
        <v>Financial performance</v>
      </c>
      <c r="D212" s="9" t="str">
        <v>Management processes - Financial performance</v>
      </c>
      <c r="E212" s="9" t="str">
        <v>x</v>
      </c>
      <c r="F212" s="9">
        <v>0</v>
      </c>
      <c r="G212" s="9" t="str">
        <v>Cost</v>
      </c>
      <c r="H212" s="9" t="str">
        <v>Economic - Cost</v>
      </c>
      <c r="I212" s="12" t="str">
        <v>Ratio of profits to cost</v>
      </c>
      <c r="J212" s="9" t="str">
        <v>This indicator measures the ratio of profit to cost.</v>
      </c>
      <c r="K212" s="9" t="str">
        <v>Quantitative</v>
      </c>
      <c r="L212" s="9" t="str">
        <v>%</v>
      </c>
      <c r="M212" s="9" t="str">
        <v>-</v>
      </c>
      <c r="N212" s="9">
        <v>1</v>
      </c>
      <c r="O212" s="9" t="str">
        <v>Jiang et al. 2018</v>
      </c>
      <c r="P212" s="9" t="str">
        <v>Company</v>
      </c>
      <c r="Q212" s="9" t="str">
        <v>28 Manufacture of machinery and equipment n.e.c.; 29 Manufacture of motor vehicles, trailers and semi-trailers; 30 Manufacture of other transport equipment</v>
      </c>
      <c r="R212" s="9" t="str">
        <v>not specified</v>
      </c>
      <c r="S212" s="9" t="str">
        <v>not specified</v>
      </c>
    </row>
    <row r="213" spans="1:19" ht="51.5" customHeight="1" x14ac:dyDescent="0.35">
      <c r="A213" s="9" t="str">
        <v>23-003</v>
      </c>
      <c r="B213" s="9" t="str">
        <v>Management processes</v>
      </c>
      <c r="C213" s="9" t="str">
        <v>Financial performance</v>
      </c>
      <c r="D213" s="9" t="str">
        <v>Management processes - Financial performance</v>
      </c>
      <c r="E213" s="9" t="str">
        <v>x</v>
      </c>
      <c r="F213" s="9">
        <v>0</v>
      </c>
      <c r="G213" s="9" t="str">
        <v>Cost</v>
      </c>
      <c r="H213" s="9" t="str">
        <v>Economic - Cost</v>
      </c>
      <c r="I213" s="12" t="str">
        <v>Capital expenditure (CAPEX)</v>
      </c>
      <c r="J213" s="9" t="str">
        <v>This indicator measures capital expenditures, which include depreciation/ annualized investment costs for production assets, costs for major asset enhancements and replacements during lifetime, asset retirement costs, facilities capital costs, and miscellaneous ownership costs.</v>
      </c>
      <c r="K213" s="9" t="str">
        <v>Quantitative</v>
      </c>
      <c r="L213" s="9" t="str">
        <v>€</v>
      </c>
      <c r="M213" s="9" t="str">
        <v>-</v>
      </c>
      <c r="N213" s="9">
        <v>1</v>
      </c>
      <c r="O213" s="9" t="str">
        <v>Barni et al. 2022</v>
      </c>
      <c r="P213" s="9" t="str">
        <v>Company; Factory</v>
      </c>
      <c r="Q213" s="9" t="str">
        <v>26 Manufacture of computer, electronic and optical products; 28 Manufacture of machinery and equipment n.e.c.; 29 Manufacture of motor vehicles, trailers and semi-trailers</v>
      </c>
      <c r="R213" s="9" t="str">
        <v>not specified</v>
      </c>
      <c r="S213" s="9" t="str">
        <v>not specified</v>
      </c>
    </row>
    <row r="214" spans="1:19" ht="51.5" customHeight="1" x14ac:dyDescent="0.35">
      <c r="A214" s="9" t="str">
        <v>23-004</v>
      </c>
      <c r="B214" s="9" t="str">
        <v>Management processes</v>
      </c>
      <c r="C214" s="9" t="str">
        <v>Financial performance</v>
      </c>
      <c r="D214" s="9" t="str">
        <v>Management processes - Financial performance</v>
      </c>
      <c r="E214" s="9" t="str">
        <v>x</v>
      </c>
      <c r="F214" s="9">
        <v>0</v>
      </c>
      <c r="G214" s="9" t="str">
        <v>Cost</v>
      </c>
      <c r="H214" s="9" t="str">
        <v>Economic - Cost</v>
      </c>
      <c r="I214" s="12" t="str">
        <v>Capital cost</v>
      </c>
      <c r="J214" s="9" t="str">
        <v>This indicator measures the capital cost, e.g., of machines.</v>
      </c>
      <c r="K214" s="9" t="str">
        <v>Quantitative</v>
      </c>
      <c r="L214" s="9" t="str">
        <v>€</v>
      </c>
      <c r="M214" s="9" t="str">
        <v>-</v>
      </c>
      <c r="N214" s="9">
        <v>3</v>
      </c>
      <c r="O214" s="9" t="str">
        <v>Paju et al. 2011; Song &amp; Moon 2019; Tan et al. 2015</v>
      </c>
      <c r="P214" s="9" t="str">
        <v>Company; Production line; Process</v>
      </c>
      <c r="Q214" s="9" t="str">
        <v>25 Manufacture of fabricated metal products, except machinery and equipment; 30 Manufacture of other transport equipment; not specified</v>
      </c>
      <c r="R214" s="9" t="str">
        <v>Original forming; Transforming; Separating; Joining; Coating and finishing; not specified</v>
      </c>
      <c r="S214" s="9" t="str">
        <v>Small; Medium; not specified</v>
      </c>
    </row>
    <row r="215" spans="1:19" ht="51.5" customHeight="1" x14ac:dyDescent="0.35">
      <c r="A215" s="9" t="str">
        <v>23-005</v>
      </c>
      <c r="B215" s="9" t="str">
        <v>Management processes</v>
      </c>
      <c r="C215" s="9" t="str">
        <v>Financial performance</v>
      </c>
      <c r="D215" s="9" t="str">
        <v>Management processes - Financial performance</v>
      </c>
      <c r="E215" s="9" t="str">
        <v>x</v>
      </c>
      <c r="F215" s="9">
        <v>0</v>
      </c>
      <c r="G215" s="9" t="str">
        <v>Cost</v>
      </c>
      <c r="H215" s="9" t="str">
        <v>Economic - Cost</v>
      </c>
      <c r="I215" s="12" t="str">
        <v>Operating cost</v>
      </c>
      <c r="J215" s="9" t="str">
        <v>This indicator measures the operating costs. It includes direct labor costs, management costs, direct material costs, and depreciation costs.</v>
      </c>
      <c r="K215" s="9" t="str">
        <v>Quantitative</v>
      </c>
      <c r="L215" s="9" t="str">
        <v>€</v>
      </c>
      <c r="M215" s="9" t="str">
        <v>-</v>
      </c>
      <c r="N215" s="9">
        <v>13</v>
      </c>
      <c r="O215" s="9" t="str">
        <v>Cagno et al. 2019; Dočekalová &amp; Kocmanová 2016; Eastwood &amp; Haapala 2015; Feil et al. 2017; Feil et al. 2019; Hartini et al. 2020; Helleno et al. 2017; Mengistu &amp; Panizzolo 2023a; Pinto et al. 2020; Swarnakar et al. 2020; Swarnakar et al. 2021; Swarnakar et al. 2022; Tan et al. 2015</v>
      </c>
      <c r="P215" s="9" t="str">
        <v>Company; Factory; Production line; Process</v>
      </c>
      <c r="Q215" s="9" t="str">
        <v>13 Manufacture of textiles; 22 Manufacture of rubber and plastic products; 24 Manufacture of basic metals; 27 Manufacture of electrical equipment; 28 Manufacture of machinery and equipment n.e.c.; 29 Manufacture of motor vehicles, trailers and semi-trailers; 30 Manufacture of other transport equipment; 31 Manufacture of furniture; not specified</v>
      </c>
      <c r="R215" s="9" t="str">
        <v>Original forming; Transforming; Separating; Joining; Coating and finishing; Change of material properties; not specified</v>
      </c>
      <c r="S215" s="9" t="str">
        <v>Micro; Small; Medium; Large; not specified</v>
      </c>
    </row>
    <row r="216" spans="1:19" ht="51.5" customHeight="1" x14ac:dyDescent="0.35">
      <c r="A216" s="9" t="str">
        <v>23-006</v>
      </c>
      <c r="B216" s="9" t="str">
        <v>Management processes</v>
      </c>
      <c r="C216" s="9" t="str">
        <v>Financial performance</v>
      </c>
      <c r="D216" s="9" t="str">
        <v>Management processes - Financial performance</v>
      </c>
      <c r="E216" s="9" t="str">
        <v>x</v>
      </c>
      <c r="F216" s="9">
        <v>0</v>
      </c>
      <c r="G216" s="9" t="str">
        <v>Cost</v>
      </c>
      <c r="H216" s="9" t="str">
        <v>Economic - Cost</v>
      </c>
      <c r="I216" s="12" t="str">
        <v>Overhead cost</v>
      </c>
      <c r="J216" s="9" t="str">
        <v>This indicator measures the overhead costs.</v>
      </c>
      <c r="K216" s="9" t="str">
        <v>Quantitative</v>
      </c>
      <c r="L216" s="9" t="str">
        <v>€</v>
      </c>
      <c r="M216" s="9" t="str">
        <v>-</v>
      </c>
      <c r="N216" s="9">
        <v>2</v>
      </c>
      <c r="O216" s="9" t="str">
        <v>Amrina &amp; Yusof 2011; Cagno et al. 2019</v>
      </c>
      <c r="P216" s="9" t="str">
        <v>Company</v>
      </c>
      <c r="Q216" s="9" t="str">
        <v>13 Manufacture of textiles; 24 Manufacture of basic metals; 28 Manufacture of machinery and equipment n.e.c.; 29 Manufacture of motor vehicles, trailers and semi-trailers; 31 Manufacture of furniture</v>
      </c>
      <c r="R216" s="9" t="str">
        <v>not specified</v>
      </c>
      <c r="S216" s="9" t="str">
        <v>Small; Medium; Large; not specified</v>
      </c>
    </row>
    <row r="217" spans="1:19" ht="51.5" customHeight="1" x14ac:dyDescent="0.35">
      <c r="A217" s="9" t="str">
        <v>23-007</v>
      </c>
      <c r="B217" s="9" t="str">
        <v>Management processes</v>
      </c>
      <c r="C217" s="9" t="str">
        <v>Financial performance</v>
      </c>
      <c r="D217" s="9" t="str">
        <v>Management processes - Financial performance</v>
      </c>
      <c r="E217" s="9" t="str">
        <v>x</v>
      </c>
      <c r="F217" s="9">
        <v>0</v>
      </c>
      <c r="G217" s="9" t="str">
        <v>Cost</v>
      </c>
      <c r="H217" s="9" t="str">
        <v>Economic - Cost</v>
      </c>
      <c r="I217" s="12" t="str">
        <v>Unit cost</v>
      </c>
      <c r="J217" s="9" t="str">
        <v>This indicator measures the unit costs as the ratio of total fixed and total variable costs to the total units produced.</v>
      </c>
      <c r="K217" s="9" t="str">
        <v>Quantitative</v>
      </c>
      <c r="L217" s="9" t="str">
        <v>€/UOP</v>
      </c>
      <c r="M217" s="9" t="str">
        <v>-</v>
      </c>
      <c r="N217" s="9">
        <v>4</v>
      </c>
      <c r="O217" s="9" t="str">
        <v>Cagno et al. 2019; Kravchenko et al. 2019; Moldavska &amp; Welo 2018; Paju et al. 2011</v>
      </c>
      <c r="P217" s="9" t="str">
        <v>Company; Process</v>
      </c>
      <c r="Q217" s="9" t="str">
        <v>13 Manufacture of textiles; 22 Manufacture of rubber and plastic products; 24 Manufacture of basic metals; 25 Manufacture of fabricated metal products, except machinery and equipment; 28 Manufacture of machinery and equipment n.e.c.; 29 Manufacture of motor vehicles, trailers and semi-trailers; 31 Manufacture of furniture; not specified</v>
      </c>
      <c r="R217" s="9" t="str">
        <v>Original forming; Transforming; Separating; Joining; Coating and finishing; not specified</v>
      </c>
      <c r="S217" s="9" t="str">
        <v>Micro; Small; Medium; Large; not specified</v>
      </c>
    </row>
    <row r="218" spans="1:19" ht="51.5" customHeight="1" x14ac:dyDescent="0.35">
      <c r="A218" s="9" t="str">
        <v>23-008</v>
      </c>
      <c r="B218" s="9" t="str">
        <v>Management processes</v>
      </c>
      <c r="C218" s="9" t="str">
        <v>Financial performance</v>
      </c>
      <c r="D218" s="9" t="str">
        <v>Management processes - Financial performance</v>
      </c>
      <c r="E218" s="9" t="str">
        <v>x</v>
      </c>
      <c r="F218" s="9">
        <v>0</v>
      </c>
      <c r="G218" s="9" t="str">
        <v>Cost</v>
      </c>
      <c r="H218" s="9" t="str">
        <v>Economic - Cost</v>
      </c>
      <c r="I218" s="12" t="str">
        <v>Direct operating expense (OPEX)</v>
      </c>
      <c r="J218" s="9" t="str">
        <v>This indicator measures the direct operating expenses. It includes material and component cost, production personnel labor cost, energy cost, cost of other consumables, cost of scheduled maintenance, and cost of corrective maintenance.</v>
      </c>
      <c r="K218" s="9" t="str">
        <v>Quantitative</v>
      </c>
      <c r="L218" s="9" t="str">
        <v>€</v>
      </c>
      <c r="M218" s="9" t="str">
        <v>-</v>
      </c>
      <c r="N218" s="9">
        <v>1</v>
      </c>
      <c r="O218" s="9" t="str">
        <v>Barni et al. 2022</v>
      </c>
      <c r="P218" s="9" t="str">
        <v>Company; Factory</v>
      </c>
      <c r="Q218" s="9" t="str">
        <v>26 Manufacture of computer, electronic and optical products; 28 Manufacture of machinery and equipment n.e.c.; 29 Manufacture of motor vehicles, trailers and semi-trailers</v>
      </c>
      <c r="R218" s="9" t="str">
        <v>not specified</v>
      </c>
      <c r="S218" s="9" t="str">
        <v>not specified</v>
      </c>
    </row>
    <row r="219" spans="1:19" ht="51.5" customHeight="1" x14ac:dyDescent="0.35">
      <c r="A219" s="9" t="str">
        <v>23-009</v>
      </c>
      <c r="B219" s="9" t="str">
        <v>Management processes</v>
      </c>
      <c r="C219" s="9" t="str">
        <v>Financial performance</v>
      </c>
      <c r="D219" s="9" t="str">
        <v>Management processes - Financial performance</v>
      </c>
      <c r="E219" s="9" t="str">
        <v>x</v>
      </c>
      <c r="F219" s="9">
        <v>0</v>
      </c>
      <c r="G219" s="9" t="str">
        <v>Cost</v>
      </c>
      <c r="H219" s="9" t="str">
        <v>Economic - Cost</v>
      </c>
      <c r="I219" s="12" t="str">
        <v>Indirect operating expense (OPEX)</v>
      </c>
      <c r="J219" s="9" t="str">
        <v>This indicator measures the indirect operating expenses. It includes internal quality cost, inventory cost, external quality cost, and cost of human errors.</v>
      </c>
      <c r="K219" s="9" t="str">
        <v>Quantitative</v>
      </c>
      <c r="L219" s="9" t="str">
        <v>€</v>
      </c>
      <c r="M219" s="9" t="str">
        <v>-</v>
      </c>
      <c r="N219" s="9">
        <v>1</v>
      </c>
      <c r="O219" s="9" t="str">
        <v>Barni et al. 2022</v>
      </c>
      <c r="P219" s="9" t="str">
        <v>Company; Factory</v>
      </c>
      <c r="Q219" s="9" t="str">
        <v>26 Manufacture of computer, electronic and optical products; 28 Manufacture of machinery and equipment n.e.c.; 29 Manufacture of motor vehicles, trailers and semi-trailers</v>
      </c>
      <c r="R219" s="9" t="str">
        <v>not specified</v>
      </c>
      <c r="S219" s="9" t="str">
        <v>not specified</v>
      </c>
    </row>
    <row r="220" spans="1:19" ht="51.5" customHeight="1" x14ac:dyDescent="0.35">
      <c r="A220" s="9" t="str">
        <v>23-010</v>
      </c>
      <c r="B220" s="9" t="str">
        <v>Management processes</v>
      </c>
      <c r="C220" s="9" t="str">
        <v>Financial performance</v>
      </c>
      <c r="D220" s="9" t="str">
        <v>Management processes - Financial performance</v>
      </c>
      <c r="E220" s="9" t="str">
        <v>x</v>
      </c>
      <c r="F220" s="9">
        <v>0</v>
      </c>
      <c r="G220" s="9" t="str">
        <v>Profit</v>
      </c>
      <c r="H220" s="9" t="str">
        <v>Economic - Profit</v>
      </c>
      <c r="I220" s="12" t="str">
        <v>Revenue growth</v>
      </c>
      <c r="J220" s="9" t="str">
        <v>This indicator measures revenue growth.</v>
      </c>
      <c r="K220" s="9" t="str">
        <v>Quantitative</v>
      </c>
      <c r="L220" s="9" t="str">
        <v>%</v>
      </c>
      <c r="M220" s="9" t="str">
        <v>-</v>
      </c>
      <c r="N220" s="9">
        <v>2</v>
      </c>
      <c r="O220" s="9" t="str">
        <v>Chung et al. 2016; Long et al. 2016</v>
      </c>
      <c r="P220" s="9" t="str">
        <v>Company</v>
      </c>
      <c r="Q220" s="9" t="str">
        <v>24 Manufacture of basic metals; 30 Manufacture of other transport equipment</v>
      </c>
      <c r="R220" s="9" t="str">
        <v>not specified</v>
      </c>
      <c r="S220" s="9" t="str">
        <v>Large; not specified</v>
      </c>
    </row>
    <row r="221" spans="1:19" ht="51.5" customHeight="1" x14ac:dyDescent="0.35">
      <c r="A221" s="9" t="str">
        <v>23-011</v>
      </c>
      <c r="B221" s="9" t="str">
        <v>Management processes</v>
      </c>
      <c r="C221" s="9" t="str">
        <v>Financial performance</v>
      </c>
      <c r="D221" s="9" t="str">
        <v>Management processes - Financial performance</v>
      </c>
      <c r="E221" s="9" t="str">
        <v>x</v>
      </c>
      <c r="F221" s="9">
        <v>0</v>
      </c>
      <c r="G221" s="9" t="str">
        <v>Profit</v>
      </c>
      <c r="H221" s="9" t="str">
        <v>Economic - Profit</v>
      </c>
      <c r="I221" s="12" t="str">
        <v>Revenue</v>
      </c>
      <c r="J221" s="9" t="str">
        <v>This indicator measures the total revenue generated.</v>
      </c>
      <c r="K221" s="9" t="str">
        <v>Quantitative</v>
      </c>
      <c r="L221" s="9" t="str">
        <v>€</v>
      </c>
      <c r="M221" s="9" t="str">
        <v>-</v>
      </c>
      <c r="N221" s="9">
        <v>14</v>
      </c>
      <c r="O221" s="9" t="str">
        <v>Butnariu &amp; Avasilcai 2015; Cagno et al. 2019; Cagno et al. 2023; Dočekalová &amp; Kocmanová 2016; Feil et al. 2017; Feil et al. 2019; Huang &amp; Badurdeen 2017; Jiang et al. 2018; Kaldas et al. 2021; Mengistu &amp; Panizzolo 2021; Mengistu &amp; Panizzolo 2023a; Mengistu &amp; Panizzolo 2023b; Pinto et al. 2020; Song &amp; Moon 2019</v>
      </c>
      <c r="P221" s="9" t="str">
        <v>Company; Production line</v>
      </c>
      <c r="Q221" s="9" t="str">
        <v>13 Manufacture of textiles; 15 Manufacture of leather and related products; 23 Manufacture of other non-metallic mineral products; 24 Manufacture of basic metals; 26 Manufacture of computer, electronic and optical products; 27 Manufacture of electrical equipment; 28 Manufacture of machinery and equipment n.e.c.; 29 Manufacture of motor vehicles, trailers and semi-trailers; 30 Manufacture of other transport equipment; 31 Manufacture of furniture; not specified</v>
      </c>
      <c r="R221" s="9" t="str">
        <v>Original forming; Joining; Coating and finishing; Change of material properties; not specified</v>
      </c>
      <c r="S221" s="9" t="str">
        <v>Micro; Small; Medium; Large; not specified</v>
      </c>
    </row>
    <row r="222" spans="1:19" ht="51.5" customHeight="1" x14ac:dyDescent="0.35">
      <c r="A222" s="9" t="str">
        <v>23-012</v>
      </c>
      <c r="B222" s="9" t="str">
        <v>Management processes</v>
      </c>
      <c r="C222" s="9" t="str">
        <v>Financial performance</v>
      </c>
      <c r="D222" s="9" t="str">
        <v>Management processes - Financial performance</v>
      </c>
      <c r="E222" s="9" t="str">
        <v>x</v>
      </c>
      <c r="F222" s="9">
        <v>0</v>
      </c>
      <c r="G222" s="9" t="str">
        <v>Profit</v>
      </c>
      <c r="H222" s="9" t="str">
        <v>Economic - Profit</v>
      </c>
      <c r="I222" s="12" t="str">
        <v>Market share</v>
      </c>
      <c r="J222" s="9" t="str">
        <v>This indicator measures the market share.</v>
      </c>
      <c r="K222" s="9" t="str">
        <v>Quantitative</v>
      </c>
      <c r="L222" s="9" t="str">
        <v>%</v>
      </c>
      <c r="M222" s="9" t="str">
        <v>-</v>
      </c>
      <c r="N222" s="9">
        <v>4</v>
      </c>
      <c r="O222" s="9" t="str">
        <v>Cagno et al. 2019; Chung et al. 2016; Dočekalová &amp; Kocmanová 2016; Pinto et al. 2020</v>
      </c>
      <c r="P222" s="9" t="str">
        <v>Company</v>
      </c>
      <c r="Q222" s="9" t="str">
        <v>13 Manufacture of textiles; 24 Manufacture of basic metals; 27 Manufacture of electrical equipment; 28 Manufacture of machinery and equipment n.e.c.; 29 Manufacture of motor vehicles, trailers and semi-trailers; 30 Manufacture of other transport equipment; 31 Manufacture of furniture</v>
      </c>
      <c r="R222" s="9" t="str">
        <v>not specified</v>
      </c>
      <c r="S222" s="9" t="str">
        <v>Small; Medium; Large; not specified</v>
      </c>
    </row>
    <row r="223" spans="1:19" ht="51.5" customHeight="1" x14ac:dyDescent="0.35">
      <c r="A223" s="9" t="str">
        <v>23-013</v>
      </c>
      <c r="B223" s="9" t="str">
        <v>Management processes</v>
      </c>
      <c r="C223" s="9" t="str">
        <v>Financial performance</v>
      </c>
      <c r="D223" s="9" t="str">
        <v>Management processes - Financial performance</v>
      </c>
      <c r="E223" s="9" t="str">
        <v>x</v>
      </c>
      <c r="F223" s="9">
        <v>0</v>
      </c>
      <c r="G223" s="9" t="str">
        <v>Profit</v>
      </c>
      <c r="H223" s="9" t="str">
        <v>Economic - Profit</v>
      </c>
      <c r="I223" s="12" t="str">
        <v>Exports percentual</v>
      </c>
      <c r="J223" s="9" t="str">
        <v>This indicator measures the sum of exports to total sales.</v>
      </c>
      <c r="K223" s="9" t="str">
        <v>Quantitative</v>
      </c>
      <c r="L223" s="9" t="str">
        <v>%</v>
      </c>
      <c r="M223" s="9" t="str">
        <v>-</v>
      </c>
      <c r="N223" s="9">
        <v>1</v>
      </c>
      <c r="O223" s="9" t="str">
        <v>Jiang et al. 2018</v>
      </c>
      <c r="P223" s="9" t="str">
        <v>Company</v>
      </c>
      <c r="Q223" s="9" t="str">
        <v>28 Manufacture of machinery and equipment n.e.c.; 29 Manufacture of motor vehicles, trailers and semi-trailers; 30 Manufacture of other transport equipment</v>
      </c>
      <c r="R223" s="9" t="str">
        <v>not specified</v>
      </c>
      <c r="S223" s="9" t="str">
        <v>not specified</v>
      </c>
    </row>
    <row r="224" spans="1:19" ht="51.5" customHeight="1" x14ac:dyDescent="0.35">
      <c r="A224" s="9" t="str">
        <v>23-014</v>
      </c>
      <c r="B224" s="9" t="str">
        <v>Management processes</v>
      </c>
      <c r="C224" s="9" t="str">
        <v>Financial performance</v>
      </c>
      <c r="D224" s="9" t="str">
        <v>Management processes - Financial performance</v>
      </c>
      <c r="E224" s="9" t="str">
        <v>x</v>
      </c>
      <c r="F224" s="9">
        <v>0</v>
      </c>
      <c r="G224" s="9" t="str">
        <v>Profit</v>
      </c>
      <c r="H224" s="9" t="str">
        <v>Economic - Profit</v>
      </c>
      <c r="I224" s="12" t="str">
        <v>Profit</v>
      </c>
      <c r="J224" s="9" t="str">
        <v>This indicator measures the total profit generated.</v>
      </c>
      <c r="K224" s="9" t="str">
        <v>Quantitative</v>
      </c>
      <c r="L224" s="9" t="str">
        <v>€</v>
      </c>
      <c r="M224" s="9" t="str">
        <v>-</v>
      </c>
      <c r="N224" s="9">
        <v>10</v>
      </c>
      <c r="O224" s="9" t="str">
        <v>Cagno et al. 2019; Cagno et al. 2023; Dočekalová &amp; Kocmanová 2016; Jiang et al. 2018; Jiang et al. 2019; Mengistu &amp; Panizzolo 2021; Mengistu &amp; Panizzolo 2023a; Mengistu &amp; Panizzolo 2023b; Moldavska &amp; Welo 2018; Pinto et al. 2020</v>
      </c>
      <c r="P224" s="9" t="str">
        <v>Company; Process</v>
      </c>
      <c r="Q224" s="9" t="str">
        <v>13 Manufacture of textiles; 15 Manufacture of leather and related products; 22 Manufacture of rubber and plastic products; 23 Manufacture of other non-metallic mineral products; 24 Manufacture of basic metals; 27 Manufacture of electrical equipment; 28 Manufacture of machinery and equipment n.e.c.; 29 Manufacture of motor vehicles, trailers and semi-trailers; 30 Manufacture of other transport equipment; 31 Manufacture of furniture; not specified</v>
      </c>
      <c r="R224" s="9" t="str">
        <v>not specified</v>
      </c>
      <c r="S224" s="9" t="str">
        <v>Small; Medium; Large; not specified</v>
      </c>
    </row>
    <row r="225" spans="1:19" ht="51.5" customHeight="1" x14ac:dyDescent="0.35">
      <c r="A225" s="9" t="str">
        <v>23-015</v>
      </c>
      <c r="B225" s="9" t="str">
        <v>Management processes</v>
      </c>
      <c r="C225" s="9" t="str">
        <v>Financial performance</v>
      </c>
      <c r="D225" s="9" t="str">
        <v>Management processes - Financial performance</v>
      </c>
      <c r="E225" s="9" t="str">
        <v>x</v>
      </c>
      <c r="F225" s="9">
        <v>0</v>
      </c>
      <c r="G225" s="9" t="str">
        <v>Profit</v>
      </c>
      <c r="H225" s="9" t="str">
        <v>Economic - Profit</v>
      </c>
      <c r="I225" s="12" t="str">
        <v>Operating profit</v>
      </c>
      <c r="J225" s="9" t="str">
        <v>This indicator measures the operating profit.</v>
      </c>
      <c r="K225" s="9" t="str">
        <v>Quantitative</v>
      </c>
      <c r="L225" s="9" t="str">
        <v>€</v>
      </c>
      <c r="M225" s="9" t="str">
        <v>-</v>
      </c>
      <c r="N225" s="9">
        <v>3</v>
      </c>
      <c r="O225" s="9" t="str">
        <v>Butnariu &amp; Avasilcai 2015; Feil et al. 2017; Hartini et al. 2020</v>
      </c>
      <c r="P225" s="9" t="str">
        <v>Company; Factory</v>
      </c>
      <c r="Q225" s="9" t="str">
        <v>13 Manufacture of textiles; 31 Manufacture of furniture</v>
      </c>
      <c r="R225" s="9" t="str">
        <v>Separating; Joining; Coating and finishing; not specified</v>
      </c>
      <c r="S225" s="9" t="str">
        <v>Micro; Small; Medium; not specified</v>
      </c>
    </row>
    <row r="226" spans="1:19" ht="51.5" customHeight="1" x14ac:dyDescent="0.35">
      <c r="A226" s="9" t="str">
        <v>23-016</v>
      </c>
      <c r="B226" s="9" t="str">
        <v>Management processes</v>
      </c>
      <c r="C226" s="9" t="str">
        <v>Financial performance</v>
      </c>
      <c r="D226" s="9" t="str">
        <v>Management processes - Financial performance</v>
      </c>
      <c r="E226" s="9" t="str">
        <v>x</v>
      </c>
      <c r="F226" s="9">
        <v>0</v>
      </c>
      <c r="G226" s="9" t="str">
        <v>Profit</v>
      </c>
      <c r="H226" s="9" t="str">
        <v>Economic - Profit</v>
      </c>
      <c r="I226" s="12" t="str">
        <v>Net profit</v>
      </c>
      <c r="J226" s="9" t="str">
        <v>This indicator measures the net profit.</v>
      </c>
      <c r="K226" s="9" t="str">
        <v>Quantitative</v>
      </c>
      <c r="L226" s="9" t="str">
        <v>€</v>
      </c>
      <c r="M226" s="9" t="str">
        <v>-</v>
      </c>
      <c r="N226" s="9">
        <v>3</v>
      </c>
      <c r="O226" s="9" t="str">
        <v>Butnariu &amp; Avasilcai 2015; Feil et al. 2017; Hartini et al. 2020</v>
      </c>
      <c r="P226" s="9" t="str">
        <v>Company; Factory</v>
      </c>
      <c r="Q226" s="9" t="str">
        <v>13 Manufacture of textiles; 31 Manufacture of furniture</v>
      </c>
      <c r="R226" s="9" t="str">
        <v>Separating; Joining; Coating and finishing; not specified</v>
      </c>
      <c r="S226" s="9" t="str">
        <v>Micro; Small; Medium; not specified</v>
      </c>
    </row>
    <row r="227" spans="1:19" ht="51.5" customHeight="1" x14ac:dyDescent="0.35">
      <c r="A227" s="9" t="str">
        <v>23-017</v>
      </c>
      <c r="B227" s="9" t="str">
        <v>Management processes</v>
      </c>
      <c r="C227" s="9" t="str">
        <v>Financial performance</v>
      </c>
      <c r="D227" s="9" t="str">
        <v>Management processes - Financial performance</v>
      </c>
      <c r="E227" s="9" t="str">
        <v>x</v>
      </c>
      <c r="F227" s="9">
        <v>0</v>
      </c>
      <c r="G227" s="9" t="str">
        <v>Profit</v>
      </c>
      <c r="H227" s="9" t="str">
        <v>Economic - Profit</v>
      </c>
      <c r="I227" s="12" t="str">
        <v>Net profit margin</v>
      </c>
      <c r="J227" s="9" t="str">
        <v>This indicator measures the net profit margin (net income / total revenue).</v>
      </c>
      <c r="K227" s="9" t="str">
        <v>Quantitative</v>
      </c>
      <c r="L227" s="9" t="str">
        <v>%</v>
      </c>
      <c r="M227" s="9" t="str">
        <v>-</v>
      </c>
      <c r="N227" s="9">
        <v>3</v>
      </c>
      <c r="O227" s="9" t="str">
        <v>Madanchi et al. 2019; Singh et al. 2007a; Tan et al. 2015</v>
      </c>
      <c r="P227" s="9" t="str">
        <v>Company; Factory</v>
      </c>
      <c r="Q227" s="9" t="str">
        <v>24 Manufacture of basic metals; 29 Manufacture of motor vehicles, trailers and semi-trailers; not specified</v>
      </c>
      <c r="R227" s="9" t="str">
        <v>not specified</v>
      </c>
      <c r="S227" s="9" t="str">
        <v>Small; Medium; Large</v>
      </c>
    </row>
    <row r="228" spans="1:19" ht="51.5" customHeight="1" x14ac:dyDescent="0.35">
      <c r="A228" s="9" t="str">
        <v>23-018</v>
      </c>
      <c r="B228" s="9" t="str">
        <v>Management processes</v>
      </c>
      <c r="C228" s="9" t="str">
        <v>Financial performance</v>
      </c>
      <c r="D228" s="9" t="str">
        <v>Management processes - Financial performance</v>
      </c>
      <c r="E228" s="9" t="str">
        <v>x</v>
      </c>
      <c r="F228" s="9">
        <v>0</v>
      </c>
      <c r="G228" s="9" t="str">
        <v>Profit</v>
      </c>
      <c r="H228" s="9" t="str">
        <v>Economic - Profit</v>
      </c>
      <c r="I228" s="12" t="str">
        <v>Gross profit margin</v>
      </c>
      <c r="J228" s="9" t="str">
        <v>This indicator measures the gross profit margin, which can be calculated as the ratio of gross margin to revenue.</v>
      </c>
      <c r="K228" s="9" t="str">
        <v>Quantitative</v>
      </c>
      <c r="L228" s="9" t="str">
        <v>%</v>
      </c>
      <c r="M228" s="9" t="str">
        <v>-</v>
      </c>
      <c r="N228" s="9">
        <v>1</v>
      </c>
      <c r="O228" s="9" t="str">
        <v>Singh et al. 2007a</v>
      </c>
      <c r="P228" s="9" t="str">
        <v>Company</v>
      </c>
      <c r="Q228" s="9" t="str">
        <v>24 Manufacture of basic metals</v>
      </c>
      <c r="R228" s="9" t="str">
        <v>not specified</v>
      </c>
      <c r="S228" s="9" t="str">
        <v>Large</v>
      </c>
    </row>
    <row r="229" spans="1:19" ht="51.5" customHeight="1" x14ac:dyDescent="0.35">
      <c r="A229" s="9" t="str">
        <v>23-019</v>
      </c>
      <c r="B229" s="9" t="str">
        <v>Management processes</v>
      </c>
      <c r="C229" s="9" t="str">
        <v>Financial performance</v>
      </c>
      <c r="D229" s="9" t="str">
        <v>Management processes - Financial performance</v>
      </c>
      <c r="E229" s="9" t="str">
        <v>x</v>
      </c>
      <c r="F229" s="9">
        <v>0</v>
      </c>
      <c r="G229" s="9" t="str">
        <v>Profit</v>
      </c>
      <c r="H229" s="9" t="str">
        <v>Economic - Profit</v>
      </c>
      <c r="I229" s="12" t="str">
        <v>Liquid profit</v>
      </c>
      <c r="J229" s="9" t="str">
        <v>This indicator measures the liquid profit.</v>
      </c>
      <c r="K229" s="9" t="str">
        <v>Quantitative</v>
      </c>
      <c r="L229" s="9" t="str">
        <v>€</v>
      </c>
      <c r="M229" s="9" t="str">
        <v>-</v>
      </c>
      <c r="N229" s="9">
        <v>1</v>
      </c>
      <c r="O229" s="9" t="str">
        <v>Feil et al. 2019</v>
      </c>
      <c r="P229" s="9" t="str">
        <v>Company</v>
      </c>
      <c r="Q229" s="9" t="str">
        <v>not specified</v>
      </c>
      <c r="R229" s="9" t="str">
        <v>not specified</v>
      </c>
      <c r="S229" s="9" t="str">
        <v>not specified</v>
      </c>
    </row>
    <row r="230" spans="1:19" ht="51.5" customHeight="1" x14ac:dyDescent="0.35">
      <c r="A230" s="9" t="str">
        <v>23-020</v>
      </c>
      <c r="B230" s="9" t="str">
        <v>Management processes</v>
      </c>
      <c r="C230" s="9" t="str">
        <v>Financial performance</v>
      </c>
      <c r="D230" s="9" t="str">
        <v>Management processes - Financial performance</v>
      </c>
      <c r="E230" s="9" t="str">
        <v>x</v>
      </c>
      <c r="F230" s="9">
        <v>0</v>
      </c>
      <c r="G230" s="9" t="str">
        <v>Profit</v>
      </c>
      <c r="H230" s="9" t="str">
        <v>Economic - Profit</v>
      </c>
      <c r="I230" s="12" t="str">
        <v>Value added</v>
      </c>
      <c r="J230" s="9" t="str">
        <v>This indicator measures the value added.</v>
      </c>
      <c r="K230" s="9" t="str">
        <v>Quantitative</v>
      </c>
      <c r="L230" s="9" t="str">
        <v>€</v>
      </c>
      <c r="M230" s="9" t="str">
        <v>-</v>
      </c>
      <c r="N230" s="9">
        <v>3</v>
      </c>
      <c r="O230" s="9" t="str">
        <v>Azapagic &amp; Perdan 2000; Dočekalová &amp; Kocmanová 2016; Feil et al. 2019</v>
      </c>
      <c r="P230" s="9" t="str">
        <v>Company</v>
      </c>
      <c r="Q230" s="9" t="str">
        <v>27 Manufacture of electrical equipment; not specified</v>
      </c>
      <c r="R230" s="9" t="str">
        <v>not specified</v>
      </c>
      <c r="S230" s="9" t="str">
        <v>Large; not specified</v>
      </c>
    </row>
    <row r="231" spans="1:19" ht="51.5" customHeight="1" x14ac:dyDescent="0.35">
      <c r="A231" s="9" t="str">
        <v>23-021</v>
      </c>
      <c r="B231" s="9" t="str">
        <v>Management processes</v>
      </c>
      <c r="C231" s="9" t="str">
        <v>Financial performance</v>
      </c>
      <c r="D231" s="9" t="str">
        <v>Management processes - Financial performance</v>
      </c>
      <c r="E231" s="9" t="str">
        <v>x</v>
      </c>
      <c r="F231" s="9">
        <v>0</v>
      </c>
      <c r="G231" s="9" t="str">
        <v>Profit</v>
      </c>
      <c r="H231" s="9" t="str">
        <v>Economic - Profit</v>
      </c>
      <c r="I231" s="12" t="str">
        <v>Economic value added (EVA)</v>
      </c>
      <c r="J231" s="9" t="str">
        <v>This indicator measures the economic value added (EVA).</v>
      </c>
      <c r="K231" s="9" t="str">
        <v>Quantitative</v>
      </c>
      <c r="L231" s="9" t="str">
        <v>€</v>
      </c>
      <c r="M231" s="9" t="str">
        <v>-</v>
      </c>
      <c r="N231" s="9">
        <v>1</v>
      </c>
      <c r="O231" s="9" t="str">
        <v>Dočekalová &amp; Kocmanová 2016</v>
      </c>
      <c r="P231" s="9" t="str">
        <v>Company</v>
      </c>
      <c r="Q231" s="9" t="str">
        <v>27 Manufacture of electrical equipment</v>
      </c>
      <c r="R231" s="9" t="str">
        <v>not specified</v>
      </c>
      <c r="S231" s="9" t="str">
        <v>Large</v>
      </c>
    </row>
    <row r="232" spans="1:19" ht="51.5" customHeight="1" x14ac:dyDescent="0.35">
      <c r="A232" s="9" t="str">
        <v>23-022</v>
      </c>
      <c r="B232" s="9" t="str">
        <v>Management processes</v>
      </c>
      <c r="C232" s="9" t="str">
        <v>Financial performance</v>
      </c>
      <c r="D232" s="9" t="str">
        <v>Management processes - Financial performance</v>
      </c>
      <c r="E232" s="9" t="str">
        <v>x</v>
      </c>
      <c r="F232" s="9">
        <v>0</v>
      </c>
      <c r="G232" s="9" t="str">
        <v>Profit</v>
      </c>
      <c r="H232" s="9" t="str">
        <v>Economic - Profit</v>
      </c>
      <c r="I232" s="12" t="str">
        <v>Value added to operating revenue ratio</v>
      </c>
      <c r="J232" s="9" t="str">
        <v>This indicator measures the ratio of value added to operating revenue.</v>
      </c>
      <c r="K232" s="9" t="str">
        <v>Quantitative</v>
      </c>
      <c r="L232" s="9" t="str">
        <v>%</v>
      </c>
      <c r="M232" s="9" t="str">
        <v>-</v>
      </c>
      <c r="N232" s="9">
        <v>1</v>
      </c>
      <c r="O232" s="9" t="str">
        <v>Kocmanová et al. 2015</v>
      </c>
      <c r="P232" s="9" t="str">
        <v>Company</v>
      </c>
      <c r="Q232" s="9" t="str">
        <v>13 Manufacture of textiles; 22 Manufacture of rubber and plastic products; 24 Manufacture of basic metals; 25 Manufacture of fabricated metal products, except machinery and equipment; 26 Manufacture of computer, electronic and optical products; 27 Manufacture of electrical equipment; 28 Manufacture of machinery and equipment n.e.c.</v>
      </c>
      <c r="R232" s="9" t="str">
        <v>not specified</v>
      </c>
      <c r="S232" s="9" t="str">
        <v>Large</v>
      </c>
    </row>
    <row r="233" spans="1:19" ht="51.5" customHeight="1" x14ac:dyDescent="0.35">
      <c r="A233" s="9" t="str">
        <v>23-023</v>
      </c>
      <c r="B233" s="9" t="str">
        <v>Management processes</v>
      </c>
      <c r="C233" s="9" t="str">
        <v>Financial performance</v>
      </c>
      <c r="D233" s="9" t="str">
        <v>Management processes - Financial performance</v>
      </c>
      <c r="E233" s="9" t="str">
        <v>x</v>
      </c>
      <c r="F233" s="9">
        <v>0</v>
      </c>
      <c r="G233" s="9" t="str">
        <v>Profit</v>
      </c>
      <c r="H233" s="9" t="str">
        <v>Economic - Profit</v>
      </c>
      <c r="I233" s="12" t="str">
        <v>Return on invested capital (ROIC)</v>
      </c>
      <c r="J233" s="9" t="str">
        <v>This indicator measures the return on invested capital.</v>
      </c>
      <c r="K233" s="9" t="str">
        <v>Quantitative</v>
      </c>
      <c r="L233" s="9" t="str">
        <v>%</v>
      </c>
      <c r="M233" s="9" t="str">
        <v>-</v>
      </c>
      <c r="N233" s="9">
        <v>1</v>
      </c>
      <c r="O233" s="9" t="str">
        <v>Dočekalová &amp; Kocmanová 2016</v>
      </c>
      <c r="P233" s="9" t="str">
        <v>Company</v>
      </c>
      <c r="Q233" s="9" t="str">
        <v>27 Manufacture of electrical equipment</v>
      </c>
      <c r="R233" s="9" t="str">
        <v>not specified</v>
      </c>
      <c r="S233" s="9" t="str">
        <v>Large</v>
      </c>
    </row>
    <row r="234" spans="1:19" ht="51.5" customHeight="1" x14ac:dyDescent="0.35">
      <c r="A234" s="9" t="str">
        <v>23-024</v>
      </c>
      <c r="B234" s="9" t="str">
        <v>Management processes</v>
      </c>
      <c r="C234" s="9" t="str">
        <v>Financial performance</v>
      </c>
      <c r="D234" s="9" t="str">
        <v>Management processes - Financial performance</v>
      </c>
      <c r="E234" s="9" t="str">
        <v>x</v>
      </c>
      <c r="F234" s="9">
        <v>0</v>
      </c>
      <c r="G234" s="9" t="str">
        <v>Profit</v>
      </c>
      <c r="H234" s="9" t="str">
        <v>Economic - Profit</v>
      </c>
      <c r="I234" s="12" t="str">
        <v>Return on equity (ROE)</v>
      </c>
      <c r="J234" s="9" t="str">
        <v>This indicator measures the return on equity, which can be calculated as net profit divided by net assets.</v>
      </c>
      <c r="K234" s="9" t="str">
        <v>Quantitative</v>
      </c>
      <c r="L234" s="9" t="str">
        <v>%</v>
      </c>
      <c r="M234" s="9" t="str">
        <v>-</v>
      </c>
      <c r="N234" s="9">
        <v>4</v>
      </c>
      <c r="O234" s="9" t="str">
        <v>Dočekalová &amp; Kocmanová 2016; Jiang et al. 2018; Kocmanová et al. 2015; Long et al. 2016</v>
      </c>
      <c r="P234" s="9" t="str">
        <v>Company</v>
      </c>
      <c r="Q234" s="9" t="str">
        <v>13 Manufacture of textiles; 22 Manufacture of rubber and plastic products; 24 Manufacture of basic metals; 25 Manufacture of fabricated metal products, except machinery and equipment; 26 Manufacture of computer, electronic and optical products; 27 Manufacture of electrical equipment; 28 Manufacture of machinery and equipment n.e.c.; 29 Manufacture of motor vehicles, trailers and semi-trailers; 30 Manufacture of other transport equipment</v>
      </c>
      <c r="R234" s="9" t="str">
        <v>not specified</v>
      </c>
      <c r="S234" s="9" t="str">
        <v>Large; not specified</v>
      </c>
    </row>
    <row r="235" spans="1:19" ht="51.5" customHeight="1" x14ac:dyDescent="0.35">
      <c r="A235" s="9" t="str">
        <v>23-025</v>
      </c>
      <c r="B235" s="9" t="str">
        <v>Management processes</v>
      </c>
      <c r="C235" s="9" t="str">
        <v>Financial performance</v>
      </c>
      <c r="D235" s="9" t="str">
        <v>Management processes - Financial performance</v>
      </c>
      <c r="E235" s="9" t="str">
        <v>x</v>
      </c>
      <c r="F235" s="9">
        <v>0</v>
      </c>
      <c r="G235" s="9" t="str">
        <v>Profit</v>
      </c>
      <c r="H235" s="9" t="str">
        <v>Economic - Profit</v>
      </c>
      <c r="I235" s="12" t="str">
        <v>Return on assets (ROA)</v>
      </c>
      <c r="J235" s="9" t="str">
        <v>This indicator measures the return on assets, which can be calculated as net profit to average total assets.</v>
      </c>
      <c r="K235" s="9" t="str">
        <v>Quantitative</v>
      </c>
      <c r="L235" s="9" t="str">
        <v>%</v>
      </c>
      <c r="M235" s="9" t="str">
        <v>-</v>
      </c>
      <c r="N235" s="9">
        <v>4</v>
      </c>
      <c r="O235" s="9" t="str">
        <v>Dočekalová &amp; Kocmanová 2016; Feil et al. 2019; Kocmanová et al. 2015; Long et al. 2016</v>
      </c>
      <c r="P235" s="9" t="str">
        <v>Company</v>
      </c>
      <c r="Q235" s="9" t="str">
        <v>13 Manufacture of textiles; 22 Manufacture of rubber and plastic products; 24 Manufacture of basic metals; 25 Manufacture of fabricated metal products, except machinery and equipment; 26 Manufacture of computer, electronic and optical products; 27 Manufacture of electrical equipment; 28 Manufacture of machinery and equipment n.e.c.; not specified</v>
      </c>
      <c r="R235" s="9" t="str">
        <v>not specified</v>
      </c>
      <c r="S235" s="9" t="str">
        <v>Large; not specified</v>
      </c>
    </row>
    <row r="236" spans="1:19" ht="51.5" customHeight="1" x14ac:dyDescent="0.35">
      <c r="A236" s="9" t="str">
        <v>23-026</v>
      </c>
      <c r="B236" s="9" t="str">
        <v>Management processes</v>
      </c>
      <c r="C236" s="9" t="str">
        <v>Financial performance</v>
      </c>
      <c r="D236" s="9" t="str">
        <v>Management processes - Financial performance</v>
      </c>
      <c r="E236" s="9" t="str">
        <v>x</v>
      </c>
      <c r="F236" s="9">
        <v>0</v>
      </c>
      <c r="G236" s="9" t="str">
        <v>Profit</v>
      </c>
      <c r="H236" s="9" t="str">
        <v>Economic - Profit</v>
      </c>
      <c r="I236" s="12" t="str">
        <v>Return on sales (ROS)</v>
      </c>
      <c r="J236" s="9" t="str">
        <v>This indicator measures the return on sales, which can be calculated as EBIT divided by sales.</v>
      </c>
      <c r="K236" s="9" t="str">
        <v>Quantitative</v>
      </c>
      <c r="L236" s="9" t="str">
        <v>%</v>
      </c>
      <c r="M236" s="9" t="str">
        <v>-</v>
      </c>
      <c r="N236" s="9">
        <v>2</v>
      </c>
      <c r="O236" s="9" t="str">
        <v>Dočekalová &amp; Kocmanová 2016; Kocmanová et al. 2015</v>
      </c>
      <c r="P236" s="9" t="str">
        <v>Company</v>
      </c>
      <c r="Q236" s="9" t="str">
        <v>13 Manufacture of textiles; 22 Manufacture of rubber and plastic products; 24 Manufacture of basic metals; 25 Manufacture of fabricated metal products, except machinery and equipment; 26 Manufacture of computer, electronic and optical products; 27 Manufacture of electrical equipment; 28 Manufacture of machinery and equipment n.e.c.</v>
      </c>
      <c r="R236" s="9" t="str">
        <v>not specified</v>
      </c>
      <c r="S236" s="9" t="str">
        <v>Large</v>
      </c>
    </row>
    <row r="237" spans="1:19" ht="51.5" customHeight="1" x14ac:dyDescent="0.35">
      <c r="A237" s="9" t="str">
        <v>23-027</v>
      </c>
      <c r="B237" s="9" t="str">
        <v>Management processes</v>
      </c>
      <c r="C237" s="9" t="str">
        <v>Financial performance</v>
      </c>
      <c r="D237" s="9" t="str">
        <v>Management processes - Financial performance</v>
      </c>
      <c r="E237" s="9" t="str">
        <v>x</v>
      </c>
      <c r="F237" s="9">
        <v>0</v>
      </c>
      <c r="G237" s="9" t="str">
        <v>Profit</v>
      </c>
      <c r="H237" s="9" t="str">
        <v>Economic - Profit</v>
      </c>
      <c r="I237" s="12" t="str">
        <v>Return on investment (ROI)</v>
      </c>
      <c r="J237" s="9" t="str">
        <v>This indicator measures the return on investment.</v>
      </c>
      <c r="K237" s="9" t="str">
        <v>Quantitative</v>
      </c>
      <c r="L237" s="9" t="str">
        <v>%</v>
      </c>
      <c r="M237" s="9" t="str">
        <v>-</v>
      </c>
      <c r="N237" s="9">
        <v>3</v>
      </c>
      <c r="O237" s="9" t="str">
        <v>Dočekalová &amp; Kocmanová 2016; Saxena et al. 2020; Tan et al. 2015</v>
      </c>
      <c r="P237" s="9" t="str">
        <v>Company; Process</v>
      </c>
      <c r="Q237" s="9" t="str">
        <v>27 Manufacture of electrical equipment; not specified</v>
      </c>
      <c r="R237" s="9" t="str">
        <v>Separating; Change of material properties; not specified</v>
      </c>
      <c r="S237" s="9" t="str">
        <v>Small; Medium; Large; not specified</v>
      </c>
    </row>
    <row r="238" spans="1:19" ht="51.5" customHeight="1" x14ac:dyDescent="0.35">
      <c r="A238" s="9" t="str">
        <v>23-028</v>
      </c>
      <c r="B238" s="9" t="str">
        <v>Management processes</v>
      </c>
      <c r="C238" s="9" t="str">
        <v>Financial performance</v>
      </c>
      <c r="D238" s="9" t="str">
        <v>Management processes - Financial performance</v>
      </c>
      <c r="E238" s="9" t="str">
        <v>x</v>
      </c>
      <c r="F238" s="9">
        <v>0</v>
      </c>
      <c r="G238" s="9" t="str">
        <v>Profit</v>
      </c>
      <c r="H238" s="9" t="str">
        <v>Economic - Profit</v>
      </c>
      <c r="I238" s="12" t="str">
        <v>Return on investment on innovation</v>
      </c>
      <c r="J238" s="9" t="str">
        <v>This indicator measures the ratio of revenue generated by innovations to the investments in innovations.</v>
      </c>
      <c r="K238" s="9" t="str">
        <v>Quantitative</v>
      </c>
      <c r="L238" s="9" t="str">
        <v>%</v>
      </c>
      <c r="M238" s="9" t="str">
        <v>-</v>
      </c>
      <c r="N238" s="9">
        <v>2</v>
      </c>
      <c r="O238" s="9" t="str">
        <v>Swarnakar et al. 2021; Swarnakar et al. 2022</v>
      </c>
      <c r="P238" s="9" t="str">
        <v>Process</v>
      </c>
      <c r="Q238" s="9" t="str">
        <v>28 Manufacture of machinery and equipment n.e.c.; 29 Manufacture of motor vehicles, trailers and semi-trailers; not specified</v>
      </c>
      <c r="R238" s="9" t="str">
        <v>Transforming; Separating; Coating and finishing; Change of material properties; not specified</v>
      </c>
      <c r="S238" s="9" t="str">
        <v>not specified</v>
      </c>
    </row>
    <row r="239" spans="1:19" ht="51.5" customHeight="1" x14ac:dyDescent="0.35">
      <c r="A239" s="9" t="str">
        <v>23-029</v>
      </c>
      <c r="B239" s="9" t="str">
        <v>Management processes</v>
      </c>
      <c r="C239" s="9" t="str">
        <v>Financial performance</v>
      </c>
      <c r="D239" s="9" t="str">
        <v>Management processes - Financial performance</v>
      </c>
      <c r="E239" s="9" t="str">
        <v>x</v>
      </c>
      <c r="F239" s="9">
        <v>0</v>
      </c>
      <c r="G239" s="9" t="str">
        <v>Profit</v>
      </c>
      <c r="H239" s="9" t="str">
        <v>Economic - Profit</v>
      </c>
      <c r="I239" s="12" t="str">
        <v>Return on capital employed (ROCE)</v>
      </c>
      <c r="J239" s="9" t="str">
        <v>This indicator measures the return on capital employed, which can be calculated as the ratio of net profit to average capital employed.</v>
      </c>
      <c r="K239" s="9" t="str">
        <v>Quantitative</v>
      </c>
      <c r="L239" s="9" t="str">
        <v>%</v>
      </c>
      <c r="M239" s="9" t="str">
        <v>-</v>
      </c>
      <c r="N239" s="9">
        <v>3</v>
      </c>
      <c r="O239" s="9" t="str">
        <v>Chung et al. 2016; Madanchi et al. 2019; Singh et al. 2007a</v>
      </c>
      <c r="P239" s="9" t="str">
        <v>Company; Factory</v>
      </c>
      <c r="Q239" s="9" t="str">
        <v>24 Manufacture of basic metals; 29 Manufacture of motor vehicles, trailers and semi-trailers; 30 Manufacture of other transport equipment</v>
      </c>
      <c r="R239" s="9" t="str">
        <v>not specified</v>
      </c>
      <c r="S239" s="9" t="str">
        <v>Large; not specified</v>
      </c>
    </row>
    <row r="240" spans="1:19" ht="51.5" customHeight="1" x14ac:dyDescent="0.35">
      <c r="A240" s="9" t="str">
        <v>23-030</v>
      </c>
      <c r="B240" s="9" t="str">
        <v>Management processes</v>
      </c>
      <c r="C240" s="9" t="str">
        <v>Financial performance</v>
      </c>
      <c r="D240" s="9" t="str">
        <v>Management processes - Financial performance</v>
      </c>
      <c r="E240" s="9" t="str">
        <v>x</v>
      </c>
      <c r="F240" s="9">
        <v>0</v>
      </c>
      <c r="G240" s="9" t="str">
        <v>Profit</v>
      </c>
      <c r="H240" s="9" t="str">
        <v>Economic - Profit</v>
      </c>
      <c r="I240" s="12" t="str">
        <v>Cash flow</v>
      </c>
      <c r="J240" s="9" t="str">
        <v>This indicator measures the cash flow.</v>
      </c>
      <c r="K240" s="9" t="str">
        <v>Quantitative</v>
      </c>
      <c r="L240" s="9" t="str">
        <v>€</v>
      </c>
      <c r="M240" s="9" t="str">
        <v>-</v>
      </c>
      <c r="N240" s="9">
        <v>1</v>
      </c>
      <c r="O240" s="9" t="str">
        <v>Dočekalová &amp; Kocmanová 2016</v>
      </c>
      <c r="P240" s="9" t="str">
        <v>Company</v>
      </c>
      <c r="Q240" s="9" t="str">
        <v>27 Manufacture of electrical equipment</v>
      </c>
      <c r="R240" s="9" t="str">
        <v>not specified</v>
      </c>
      <c r="S240" s="9" t="str">
        <v>Large</v>
      </c>
    </row>
    <row r="241" spans="1:19" ht="51.5" customHeight="1" x14ac:dyDescent="0.35">
      <c r="A241" s="9" t="str">
        <v>23-031</v>
      </c>
      <c r="B241" s="9" t="str">
        <v>Management processes</v>
      </c>
      <c r="C241" s="9" t="str">
        <v>Financial performance</v>
      </c>
      <c r="D241" s="9" t="str">
        <v>Management processes - Financial performance</v>
      </c>
      <c r="E241" s="9" t="str">
        <v>x</v>
      </c>
      <c r="F241" s="9">
        <v>0</v>
      </c>
      <c r="G241" s="9" t="str">
        <v>Profit</v>
      </c>
      <c r="H241" s="9" t="str">
        <v>Economic - Profit</v>
      </c>
      <c r="I241" s="12" t="str">
        <v>Net working capital</v>
      </c>
      <c r="J241" s="9" t="str">
        <v>This indicator measures the net working capital.</v>
      </c>
      <c r="K241" s="9" t="str">
        <v>Quantitative</v>
      </c>
      <c r="L241" s="9" t="str">
        <v>€</v>
      </c>
      <c r="M241" s="9" t="str">
        <v>-</v>
      </c>
      <c r="N241" s="9">
        <v>1</v>
      </c>
      <c r="O241" s="9" t="str">
        <v>Jiang et al. 2018</v>
      </c>
      <c r="P241" s="9" t="str">
        <v>Company</v>
      </c>
      <c r="Q241" s="9" t="str">
        <v>28 Manufacture of machinery and equipment n.e.c.; 29 Manufacture of motor vehicles, trailers and semi-trailers; 30 Manufacture of other transport equipment</v>
      </c>
      <c r="R241" s="9" t="str">
        <v>not specified</v>
      </c>
      <c r="S241" s="9" t="str">
        <v>not specified</v>
      </c>
    </row>
    <row r="242" spans="1:19" ht="51.5" customHeight="1" x14ac:dyDescent="0.35">
      <c r="A242" s="9" t="str">
        <v>23-032</v>
      </c>
      <c r="B242" s="9" t="str">
        <v>Management processes</v>
      </c>
      <c r="C242" s="9" t="str">
        <v>Financial performance</v>
      </c>
      <c r="D242" s="9" t="str">
        <v>Management processes - Financial performance</v>
      </c>
      <c r="E242" s="9" t="str">
        <v>x</v>
      </c>
      <c r="F242" s="9">
        <v>0</v>
      </c>
      <c r="G242" s="9" t="str">
        <v>Other</v>
      </c>
      <c r="H242" s="9" t="str">
        <v>Economic - Other</v>
      </c>
      <c r="I242" s="12" t="str">
        <v>Quick ratio (acid test)</v>
      </c>
      <c r="J242" s="9" t="str">
        <v>This indicator measures the quick ratio, which can be calculated as the ratio of current assets minus inventory to current liabilities.</v>
      </c>
      <c r="K242" s="9" t="str">
        <v>Quantitative</v>
      </c>
      <c r="L242" s="9" t="str">
        <v>%</v>
      </c>
      <c r="M242" s="9" t="str">
        <v>-</v>
      </c>
      <c r="N242" s="9">
        <v>1</v>
      </c>
      <c r="O242" s="9" t="str">
        <v>Long et al. 2016</v>
      </c>
      <c r="P242" s="9" t="str">
        <v>Company</v>
      </c>
      <c r="Q242" s="9" t="str">
        <v>24 Manufacture of basic metals</v>
      </c>
      <c r="R242" s="9" t="str">
        <v>not specified</v>
      </c>
      <c r="S242" s="9" t="str">
        <v>Large</v>
      </c>
    </row>
    <row r="243" spans="1:19" ht="51.5" customHeight="1" x14ac:dyDescent="0.35">
      <c r="A243" s="9" t="str">
        <v>23-033</v>
      </c>
      <c r="B243" s="9" t="str">
        <v>Management processes</v>
      </c>
      <c r="C243" s="9" t="str">
        <v>Financial performance</v>
      </c>
      <c r="D243" s="9" t="str">
        <v>Management processes - Financial performance</v>
      </c>
      <c r="E243" s="9" t="str">
        <v>x</v>
      </c>
      <c r="F243" s="9">
        <v>0</v>
      </c>
      <c r="G243" s="9" t="str">
        <v>Profit</v>
      </c>
      <c r="H243" s="9" t="str">
        <v>Economic - Profit</v>
      </c>
      <c r="I243" s="12" t="str">
        <v>Cash flow to total assets ratio</v>
      </c>
      <c r="J243" s="9" t="str">
        <v>This indicator measures the ratio of cash flow to total assets.</v>
      </c>
      <c r="K243" s="9" t="str">
        <v>Quantitative</v>
      </c>
      <c r="L243" s="9" t="str">
        <v>%</v>
      </c>
      <c r="M243" s="9" t="str">
        <v>-</v>
      </c>
      <c r="N243" s="9">
        <v>1</v>
      </c>
      <c r="O243" s="9" t="str">
        <v>Kocmanová et al. 2015</v>
      </c>
      <c r="P243" s="9" t="str">
        <v>Company</v>
      </c>
      <c r="Q243" s="9" t="str">
        <v>13 Manufacture of textiles; 22 Manufacture of rubber and plastic products; 24 Manufacture of basic metals; 25 Manufacture of fabricated metal products, except machinery and equipment; 26 Manufacture of computer, electronic and optical products; 27 Manufacture of electrical equipment; 28 Manufacture of machinery and equipment n.e.c.</v>
      </c>
      <c r="R243" s="9" t="str">
        <v>not specified</v>
      </c>
      <c r="S243" s="9" t="str">
        <v>Large</v>
      </c>
    </row>
    <row r="244" spans="1:19" ht="51.5" customHeight="1" x14ac:dyDescent="0.35">
      <c r="A244" s="9" t="str">
        <v>23-034</v>
      </c>
      <c r="B244" s="9" t="str">
        <v>Management processes</v>
      </c>
      <c r="C244" s="9" t="str">
        <v>Financial performance</v>
      </c>
      <c r="D244" s="9" t="str">
        <v>Management processes - Financial performance</v>
      </c>
      <c r="E244" s="9" t="str">
        <v>x</v>
      </c>
      <c r="F244" s="9">
        <v>0</v>
      </c>
      <c r="G244" s="9" t="str">
        <v>Profit</v>
      </c>
      <c r="H244" s="9" t="str">
        <v>Economic - Profit</v>
      </c>
      <c r="I244" s="12" t="str">
        <v>Turnover of assets</v>
      </c>
      <c r="J244" s="9" t="str">
        <v>This indicator measures the turnover of assets.</v>
      </c>
      <c r="K244" s="9" t="str">
        <v>Quantitative</v>
      </c>
      <c r="L244" s="9" t="str">
        <v>%</v>
      </c>
      <c r="M244" s="9" t="str">
        <v>-</v>
      </c>
      <c r="N244" s="9">
        <v>2</v>
      </c>
      <c r="O244" s="9" t="str">
        <v>Dočekalová &amp; Kocmanová 2016; Long et al. 2016</v>
      </c>
      <c r="P244" s="9" t="str">
        <v>Company</v>
      </c>
      <c r="Q244" s="9" t="str">
        <v>24 Manufacture of basic metals; 27 Manufacture of electrical equipment</v>
      </c>
      <c r="R244" s="9" t="str">
        <v>not specified</v>
      </c>
      <c r="S244" s="9" t="str">
        <v>Large</v>
      </c>
    </row>
    <row r="245" spans="1:19" ht="51.5" customHeight="1" x14ac:dyDescent="0.35">
      <c r="A245" s="9" t="str">
        <v>23-035</v>
      </c>
      <c r="B245" s="9" t="str">
        <v>Management processes</v>
      </c>
      <c r="C245" s="9" t="str">
        <v>Financial performance</v>
      </c>
      <c r="D245" s="9" t="str">
        <v>Management processes - Financial performance</v>
      </c>
      <c r="E245" s="9" t="str">
        <v>x</v>
      </c>
      <c r="F245" s="9">
        <v>0</v>
      </c>
      <c r="G245" s="9" t="str">
        <v>Profit</v>
      </c>
      <c r="H245" s="9" t="str">
        <v>Economic - Profit</v>
      </c>
      <c r="I245" s="12" t="str">
        <v>Turnover of inventory</v>
      </c>
      <c r="J245" s="9" t="str">
        <v>This indicator measures the turnover of inventory.</v>
      </c>
      <c r="K245" s="9" t="str">
        <v>Quantitative</v>
      </c>
      <c r="L245" s="9" t="str">
        <v>#</v>
      </c>
      <c r="M245" s="9" t="str">
        <v>-</v>
      </c>
      <c r="N245" s="9">
        <v>2</v>
      </c>
      <c r="O245" s="9" t="str">
        <v>Dočekalová &amp; Kocmanová 2016; Singh et al. 2007a</v>
      </c>
      <c r="P245" s="9" t="str">
        <v>Company</v>
      </c>
      <c r="Q245" s="9" t="str">
        <v>24 Manufacture of basic metals; 27 Manufacture of electrical equipment</v>
      </c>
      <c r="R245" s="9" t="str">
        <v>not specified</v>
      </c>
      <c r="S245" s="9" t="str">
        <v>Large</v>
      </c>
    </row>
    <row r="246" spans="1:19" ht="51.5" customHeight="1" x14ac:dyDescent="0.35">
      <c r="A246" s="9" t="str">
        <v>23-036</v>
      </c>
      <c r="B246" s="9" t="str">
        <v>Management processes</v>
      </c>
      <c r="C246" s="9" t="str">
        <v>Financial performance</v>
      </c>
      <c r="D246" s="9" t="str">
        <v>Management processes - Financial performance</v>
      </c>
      <c r="E246" s="9" t="str">
        <v>x</v>
      </c>
      <c r="F246" s="9">
        <v>0</v>
      </c>
      <c r="G246" s="9" t="str">
        <v>Profit</v>
      </c>
      <c r="H246" s="9" t="str">
        <v>Economic - Profit</v>
      </c>
      <c r="I246" s="12" t="str">
        <v>Turnover of receivables</v>
      </c>
      <c r="J246" s="9" t="str">
        <v>This indicator measures the turnover of receivables.</v>
      </c>
      <c r="K246" s="9" t="str">
        <v>Quantitative</v>
      </c>
      <c r="L246" s="9" t="str">
        <v>#</v>
      </c>
      <c r="M246" s="9" t="str">
        <v>-</v>
      </c>
      <c r="N246" s="9">
        <v>1</v>
      </c>
      <c r="O246" s="9" t="str">
        <v>Dočekalová &amp; Kocmanová 2016</v>
      </c>
      <c r="P246" s="9" t="str">
        <v>Company</v>
      </c>
      <c r="Q246" s="9" t="str">
        <v>27 Manufacture of electrical equipment</v>
      </c>
      <c r="R246" s="9" t="str">
        <v>not specified</v>
      </c>
      <c r="S246" s="9" t="str">
        <v>Large</v>
      </c>
    </row>
    <row r="247" spans="1:19" ht="51.5" customHeight="1" x14ac:dyDescent="0.35">
      <c r="A247" s="9" t="str">
        <v>23-037</v>
      </c>
      <c r="B247" s="9" t="str">
        <v>Management processes</v>
      </c>
      <c r="C247" s="9" t="str">
        <v>Financial performance</v>
      </c>
      <c r="D247" s="9" t="str">
        <v>Management processes - Financial performance</v>
      </c>
      <c r="E247" s="9" t="str">
        <v>x</v>
      </c>
      <c r="F247" s="9">
        <v>0</v>
      </c>
      <c r="G247" s="9" t="str">
        <v>Cost</v>
      </c>
      <c r="H247" s="9" t="str">
        <v>Economic - Cost</v>
      </c>
      <c r="I247" s="12" t="str">
        <v>Turnover of liabilities</v>
      </c>
      <c r="J247" s="9" t="str">
        <v>This indicator measures the turnover of liabilities.</v>
      </c>
      <c r="K247" s="9" t="str">
        <v>Quantitative</v>
      </c>
      <c r="L247" s="9" t="str">
        <v>#</v>
      </c>
      <c r="M247" s="9" t="str">
        <v>-</v>
      </c>
      <c r="N247" s="9">
        <v>1</v>
      </c>
      <c r="O247" s="9" t="str">
        <v>Dočekalová &amp; Kocmanová 2016</v>
      </c>
      <c r="P247" s="9" t="str">
        <v>Company</v>
      </c>
      <c r="Q247" s="9" t="str">
        <v>27 Manufacture of electrical equipment</v>
      </c>
      <c r="R247" s="9" t="str">
        <v>not specified</v>
      </c>
      <c r="S247" s="9" t="str">
        <v>Large</v>
      </c>
    </row>
    <row r="248" spans="1:19" ht="51.5" customHeight="1" x14ac:dyDescent="0.35">
      <c r="A248" s="9" t="str">
        <v>23-038</v>
      </c>
      <c r="B248" s="9" t="str">
        <v>Management processes</v>
      </c>
      <c r="C248" s="9" t="str">
        <v>Financial performance</v>
      </c>
      <c r="D248" s="9" t="str">
        <v>Management processes - Financial performance</v>
      </c>
      <c r="E248" s="9" t="str">
        <v>x</v>
      </c>
      <c r="F248" s="9">
        <v>0</v>
      </c>
      <c r="G248" s="9" t="str">
        <v>Profit</v>
      </c>
      <c r="H248" s="9" t="str">
        <v>Economic - Profit</v>
      </c>
      <c r="I248" s="12" t="str">
        <v>Current assets turnover</v>
      </c>
      <c r="J248" s="9" t="str">
        <v>This indicator measures the current assets turnover.</v>
      </c>
      <c r="K248" s="9" t="str">
        <v>Quantitative</v>
      </c>
      <c r="L248" s="9" t="str">
        <v>%</v>
      </c>
      <c r="M248" s="9" t="str">
        <v>-</v>
      </c>
      <c r="N248" s="9">
        <v>2</v>
      </c>
      <c r="O248" s="9" t="str">
        <v>Jiang et al. 2018; Long et al. 2016</v>
      </c>
      <c r="P248" s="9" t="str">
        <v>Company</v>
      </c>
      <c r="Q248" s="9" t="str">
        <v>24 Manufacture of basic metals; 28 Manufacture of machinery and equipment n.e.c.; 29 Manufacture of motor vehicles, trailers and semi-trailers; 30 Manufacture of other transport equipment</v>
      </c>
      <c r="R248" s="9" t="str">
        <v>not specified</v>
      </c>
      <c r="S248" s="9" t="str">
        <v>Large; not specified</v>
      </c>
    </row>
    <row r="249" spans="1:19" ht="51.5" customHeight="1" x14ac:dyDescent="0.35">
      <c r="A249" s="9" t="str">
        <v>23-039</v>
      </c>
      <c r="B249" s="9" t="str">
        <v>Management processes</v>
      </c>
      <c r="C249" s="9" t="str">
        <v>Financial performance</v>
      </c>
      <c r="D249" s="9" t="str">
        <v>Management processes - Financial performance</v>
      </c>
      <c r="E249" s="9" t="str">
        <v>x</v>
      </c>
      <c r="F249" s="9">
        <v>0</v>
      </c>
      <c r="G249" s="9" t="str">
        <v>Profit</v>
      </c>
      <c r="H249" s="9" t="str">
        <v>Economic - Profit</v>
      </c>
      <c r="I249" s="12" t="str">
        <v>Operating revenue to total assets ratio</v>
      </c>
      <c r="J249" s="9" t="str">
        <v>This indicator measures the ratio of operating revenue to total assets.</v>
      </c>
      <c r="K249" s="9" t="str">
        <v>Quantitative</v>
      </c>
      <c r="L249" s="9" t="str">
        <v>%</v>
      </c>
      <c r="M249" s="9" t="str">
        <v>-</v>
      </c>
      <c r="N249" s="9">
        <v>1</v>
      </c>
      <c r="O249" s="9" t="str">
        <v>Kocmanová et al. 2015</v>
      </c>
      <c r="P249" s="9" t="str">
        <v>Company</v>
      </c>
      <c r="Q249" s="9" t="str">
        <v>13 Manufacture of textiles; 22 Manufacture of rubber and plastic products; 24 Manufacture of basic metals; 25 Manufacture of fabricated metal products, except machinery and equipment; 26 Manufacture of computer, electronic and optical products; 27 Manufacture of electrical equipment; 28 Manufacture of machinery and equipment n.e.c.</v>
      </c>
      <c r="R249" s="9" t="str">
        <v>not specified</v>
      </c>
      <c r="S249" s="9" t="str">
        <v>Large</v>
      </c>
    </row>
    <row r="250" spans="1:19" ht="51.5" customHeight="1" x14ac:dyDescent="0.35">
      <c r="A250" s="9" t="str">
        <v>23-040</v>
      </c>
      <c r="B250" s="9" t="str">
        <v>Management processes</v>
      </c>
      <c r="C250" s="9" t="str">
        <v>Financial performance</v>
      </c>
      <c r="D250" s="9" t="str">
        <v>Management processes - Financial performance</v>
      </c>
      <c r="E250" s="9" t="str">
        <v>x</v>
      </c>
      <c r="F250" s="9">
        <v>0</v>
      </c>
      <c r="G250" s="9" t="str">
        <v>Other</v>
      </c>
      <c r="H250" s="9" t="str">
        <v>Economic - Other</v>
      </c>
      <c r="I250" s="12" t="str">
        <v>Total assets</v>
      </c>
      <c r="J250" s="9" t="str">
        <v>This indicator measures the total assets.</v>
      </c>
      <c r="K250" s="9" t="str">
        <v>Quantitative</v>
      </c>
      <c r="L250" s="9" t="str">
        <v>€</v>
      </c>
      <c r="M250" s="9" t="str">
        <v>-</v>
      </c>
      <c r="N250" s="9">
        <v>1</v>
      </c>
      <c r="O250" s="9" t="str">
        <v>Jiang et al. 2018</v>
      </c>
      <c r="P250" s="9" t="str">
        <v>Company</v>
      </c>
      <c r="Q250" s="9" t="str">
        <v>28 Manufacture of machinery and equipment n.e.c.; 29 Manufacture of motor vehicles, trailers and semi-trailers; 30 Manufacture of other transport equipment</v>
      </c>
      <c r="R250" s="9" t="str">
        <v>not specified</v>
      </c>
      <c r="S250" s="9" t="str">
        <v>not specified</v>
      </c>
    </row>
    <row r="251" spans="1:19" ht="51.5" customHeight="1" x14ac:dyDescent="0.35">
      <c r="A251" s="9" t="str">
        <v>23-041</v>
      </c>
      <c r="B251" s="9" t="str">
        <v>Management processes</v>
      </c>
      <c r="C251" s="9" t="str">
        <v>Financial performance</v>
      </c>
      <c r="D251" s="9" t="str">
        <v>Management processes - Financial performance</v>
      </c>
      <c r="E251" s="9" t="str">
        <v>x</v>
      </c>
      <c r="F251" s="9">
        <v>0</v>
      </c>
      <c r="G251" s="9" t="str">
        <v>Other</v>
      </c>
      <c r="H251" s="9" t="str">
        <v>Economic - Other</v>
      </c>
      <c r="I251" s="12" t="str">
        <v>Fixed assets</v>
      </c>
      <c r="J251" s="9" t="str">
        <v>This indicator measures the fixed assets, such as facilities and equipment.</v>
      </c>
      <c r="K251" s="9" t="str">
        <v>Quantitative</v>
      </c>
      <c r="L251" s="9" t="str">
        <v>€</v>
      </c>
      <c r="M251" s="9" t="str">
        <v>-</v>
      </c>
      <c r="N251" s="9">
        <v>2</v>
      </c>
      <c r="O251" s="9" t="str">
        <v>Huang &amp; Badurdeen 2017; Kaldas et al. 2021</v>
      </c>
      <c r="P251" s="9" t="str">
        <v>Company</v>
      </c>
      <c r="Q251" s="9" t="str">
        <v>26 Manufacture of computer, electronic and optical products; not specified</v>
      </c>
      <c r="R251" s="9" t="str">
        <v>Original forming; Joining; Coating and finishing; Change of material properties; not specified</v>
      </c>
      <c r="S251" s="9" t="str">
        <v>not specified</v>
      </c>
    </row>
    <row r="252" spans="1:19" ht="51.5" customHeight="1" x14ac:dyDescent="0.35">
      <c r="A252" s="9" t="str">
        <v>23-042</v>
      </c>
      <c r="B252" s="9" t="str">
        <v>Management processes</v>
      </c>
      <c r="C252" s="9" t="str">
        <v>Financial performance</v>
      </c>
      <c r="D252" s="9" t="str">
        <v>Management processes - Financial performance</v>
      </c>
      <c r="E252" s="9" t="str">
        <v>x</v>
      </c>
      <c r="F252" s="9">
        <v>0</v>
      </c>
      <c r="G252" s="9" t="str">
        <v>Other</v>
      </c>
      <c r="H252" s="9" t="str">
        <v>Economic - Other</v>
      </c>
      <c r="I252" s="12" t="str">
        <v>Current assets</v>
      </c>
      <c r="J252" s="9" t="str">
        <v>This indicator measures the current assets, such as inventory.</v>
      </c>
      <c r="K252" s="9" t="str">
        <v>Quantitative</v>
      </c>
      <c r="L252" s="9" t="str">
        <v>€</v>
      </c>
      <c r="M252" s="9" t="str">
        <v>-</v>
      </c>
      <c r="N252" s="9">
        <v>2</v>
      </c>
      <c r="O252" s="9" t="str">
        <v>Huang &amp; Badurdeen 2017; Kaldas et al. 2021</v>
      </c>
      <c r="P252" s="9" t="str">
        <v>Company</v>
      </c>
      <c r="Q252" s="9" t="str">
        <v>26 Manufacture of computer, electronic and optical products; not specified</v>
      </c>
      <c r="R252" s="9" t="str">
        <v>Original forming; Joining; Coating and finishing; Change of material properties; not specified</v>
      </c>
      <c r="S252" s="9" t="str">
        <v>not specified</v>
      </c>
    </row>
    <row r="253" spans="1:19" ht="51.5" customHeight="1" x14ac:dyDescent="0.35">
      <c r="A253" s="9" t="str">
        <v>23-043</v>
      </c>
      <c r="B253" s="9" t="str">
        <v>Management processes</v>
      </c>
      <c r="C253" s="9" t="str">
        <v>Financial performance</v>
      </c>
      <c r="D253" s="9" t="str">
        <v>Management processes - Financial performance</v>
      </c>
      <c r="E253" s="9" t="str">
        <v>x</v>
      </c>
      <c r="F253" s="9">
        <v>0</v>
      </c>
      <c r="G253" s="9" t="str">
        <v>Cost</v>
      </c>
      <c r="H253" s="9" t="str">
        <v>Economic - Cost</v>
      </c>
      <c r="I253" s="12" t="str">
        <v>Cost of capital</v>
      </c>
      <c r="J253" s="9" t="str">
        <v>This indicator measures the cost of capital.</v>
      </c>
      <c r="K253" s="9" t="str">
        <v>Quantitative</v>
      </c>
      <c r="L253" s="9" t="str">
        <v>€</v>
      </c>
      <c r="M253" s="9" t="str">
        <v>-</v>
      </c>
      <c r="N253" s="9">
        <v>2</v>
      </c>
      <c r="O253" s="9" t="str">
        <v>Huang &amp; Badurdeen 2017; Kaldas et al. 2021</v>
      </c>
      <c r="P253" s="9" t="str">
        <v>Company</v>
      </c>
      <c r="Q253" s="9" t="str">
        <v>26 Manufacture of computer, electronic and optical products; not specified</v>
      </c>
      <c r="R253" s="9" t="str">
        <v>Original forming; Joining; Coating and finishing; Change of material properties; not specified</v>
      </c>
      <c r="S253" s="9" t="str">
        <v>not specified</v>
      </c>
    </row>
    <row r="254" spans="1:19" ht="51.5" customHeight="1" x14ac:dyDescent="0.35">
      <c r="A254" s="9" t="str">
        <v>23-044</v>
      </c>
      <c r="B254" s="9" t="str">
        <v>Management processes</v>
      </c>
      <c r="C254" s="9" t="str">
        <v>Financial performance</v>
      </c>
      <c r="D254" s="9" t="str">
        <v>Management processes - Financial performance</v>
      </c>
      <c r="E254" s="9" t="str">
        <v>x</v>
      </c>
      <c r="F254" s="9">
        <v>0</v>
      </c>
      <c r="G254" s="9" t="str">
        <v>Cost</v>
      </c>
      <c r="H254" s="9" t="str">
        <v>Economic - Cost</v>
      </c>
      <c r="I254" s="12" t="str">
        <v>Debt-asset ratio</v>
      </c>
      <c r="J254" s="9" t="str">
        <v>This indicator measures the debt-asset ratio.</v>
      </c>
      <c r="K254" s="9" t="str">
        <v>Quantitative</v>
      </c>
      <c r="L254" s="9" t="str">
        <v>%</v>
      </c>
      <c r="M254" s="9" t="str">
        <v>-</v>
      </c>
      <c r="N254" s="9">
        <v>3</v>
      </c>
      <c r="O254" s="9" t="str">
        <v>Dočekalová &amp; Kocmanová 2016; Jiang et al. 2018; Long et al. 2016</v>
      </c>
      <c r="P254" s="9" t="str">
        <v>Company</v>
      </c>
      <c r="Q254" s="9" t="str">
        <v>24 Manufacture of basic metals; 27 Manufacture of electrical equipment; 28 Manufacture of machinery and equipment n.e.c.; 29 Manufacture of motor vehicles, trailers and semi-trailers; 30 Manufacture of other transport equipment</v>
      </c>
      <c r="R254" s="9" t="str">
        <v>not specified</v>
      </c>
      <c r="S254" s="9" t="str">
        <v>Large; not specified</v>
      </c>
    </row>
    <row r="255" spans="1:19" ht="51.5" customHeight="1" x14ac:dyDescent="0.35">
      <c r="A255" s="9" t="str">
        <v>23-045</v>
      </c>
      <c r="B255" s="9" t="str">
        <v>Management processes</v>
      </c>
      <c r="C255" s="9" t="str">
        <v>Financial performance</v>
      </c>
      <c r="D255" s="9" t="str">
        <v>Management processes - Financial performance</v>
      </c>
      <c r="E255" s="9" t="str">
        <v>x</v>
      </c>
      <c r="F255" s="9">
        <v>0</v>
      </c>
      <c r="G255" s="9" t="str">
        <v>Cost</v>
      </c>
      <c r="H255" s="9" t="str">
        <v>Economic - Cost</v>
      </c>
      <c r="I255" s="12" t="str">
        <v>Environmental liabilities</v>
      </c>
      <c r="J255" s="9" t="str">
        <v>This indicator measures environmental liabilities that can have a material impact on the financial status of the organization.</v>
      </c>
      <c r="K255" s="9" t="str">
        <v>Quantitative</v>
      </c>
      <c r="L255" s="9" t="str">
        <v>€</v>
      </c>
      <c r="M255" s="9" t="str">
        <v>-</v>
      </c>
      <c r="N255" s="9">
        <v>2</v>
      </c>
      <c r="O255" s="9" t="str">
        <v>Azapagic &amp; Perdan 2000; ISO14031</v>
      </c>
      <c r="P255" s="9" t="str">
        <v>Company; Factory</v>
      </c>
      <c r="Q255" s="9" t="str">
        <v>not specified</v>
      </c>
      <c r="R255" s="9" t="str">
        <v>not specified</v>
      </c>
      <c r="S255" s="9" t="str">
        <v>not specified</v>
      </c>
    </row>
    <row r="256" spans="1:19" ht="51.5" customHeight="1" x14ac:dyDescent="0.35">
      <c r="A256" s="9" t="str">
        <v>23-046</v>
      </c>
      <c r="B256" s="9" t="str">
        <v>Management processes</v>
      </c>
      <c r="C256" s="9" t="str">
        <v>Financial performance</v>
      </c>
      <c r="D256" s="9" t="str">
        <v>Management processes - Financial performance</v>
      </c>
      <c r="E256" s="9" t="str">
        <v>x</v>
      </c>
      <c r="F256" s="9">
        <v>0</v>
      </c>
      <c r="G256" s="9" t="str">
        <v>Other</v>
      </c>
      <c r="H256" s="9" t="str">
        <v>Economic - Other</v>
      </c>
      <c r="I256" s="12" t="str">
        <v>Total assets to total liabilities</v>
      </c>
      <c r="J256" s="9" t="str">
        <v>This indicator measures the ratio of total assets to total liabilities.</v>
      </c>
      <c r="K256" s="9" t="str">
        <v>Quantitative</v>
      </c>
      <c r="L256" s="9" t="str">
        <v>%</v>
      </c>
      <c r="M256" s="10" t="str">
        <v>-</v>
      </c>
      <c r="N256" s="9">
        <v>1</v>
      </c>
      <c r="O256" s="9" t="str">
        <v>Kocmanová et al. 2015</v>
      </c>
      <c r="P256" s="9" t="str">
        <v>Company</v>
      </c>
      <c r="Q256" s="9" t="str">
        <v>13 Manufacture of textiles; 22 Manufacture of rubber and plastic products; 24 Manufacture of basic metals; 25 Manufacture of fabricated metal products, except machinery and equipment; 26 Manufacture of computer, electronic and optical products; 27 Manufacture of electrical equipment; 28 Manufacture of machinery and equipment n.e.c.</v>
      </c>
      <c r="R256" s="9" t="str">
        <v>not specified</v>
      </c>
      <c r="S256" s="9" t="str">
        <v>Large</v>
      </c>
    </row>
    <row r="257" spans="1:19" ht="51.5" customHeight="1" x14ac:dyDescent="0.35">
      <c r="A257" s="9" t="str">
        <v>23-047</v>
      </c>
      <c r="B257" s="9" t="str">
        <v>Management processes</v>
      </c>
      <c r="C257" s="9" t="str">
        <v>Financial performance</v>
      </c>
      <c r="D257" s="9" t="str">
        <v>Management processes - Financial performance</v>
      </c>
      <c r="E257" s="9" t="str">
        <v>x</v>
      </c>
      <c r="F257" s="9">
        <v>0</v>
      </c>
      <c r="G257" s="9" t="str">
        <v>Other</v>
      </c>
      <c r="H257" s="9" t="str">
        <v>Economic - Other</v>
      </c>
      <c r="I257" s="12" t="str">
        <v>Total liabilities to shareholders' funds</v>
      </c>
      <c r="J257" s="9" t="str">
        <v>This indicator measures the ratio of total liabilities to shareholders' funds.</v>
      </c>
      <c r="K257" s="9" t="str">
        <v>Quantitative</v>
      </c>
      <c r="L257" s="9" t="str">
        <v>%</v>
      </c>
      <c r="M257" s="9" t="str">
        <v>-</v>
      </c>
      <c r="N257" s="9">
        <v>1</v>
      </c>
      <c r="O257" s="9" t="str">
        <v>Kocmanová et al. 2015</v>
      </c>
      <c r="P257" s="9" t="str">
        <v>Company</v>
      </c>
      <c r="Q257" s="9" t="str">
        <v>13 Manufacture of textiles; 22 Manufacture of rubber and plastic products; 24 Manufacture of basic metals; 25 Manufacture of fabricated metal products, except machinery and equipment; 26 Manufacture of computer, electronic and optical products; 27 Manufacture of electrical equipment; 28 Manufacture of machinery and equipment n.e.c.</v>
      </c>
      <c r="R257" s="9" t="str">
        <v>not specified</v>
      </c>
      <c r="S257" s="9" t="str">
        <v>Large</v>
      </c>
    </row>
    <row r="258" spans="1:19" ht="51.5" customHeight="1" x14ac:dyDescent="0.35">
      <c r="A258" s="9" t="str">
        <v>23-048</v>
      </c>
      <c r="B258" s="9" t="str">
        <v>Management processes</v>
      </c>
      <c r="C258" s="9" t="str">
        <v>Financial performance</v>
      </c>
      <c r="D258" s="9" t="str">
        <v>Management processes - Financial performance</v>
      </c>
      <c r="E258" s="9" t="str">
        <v>x</v>
      </c>
      <c r="F258" s="9">
        <v>0</v>
      </c>
      <c r="G258" s="9" t="str">
        <v>Other</v>
      </c>
      <c r="H258" s="9" t="str">
        <v>Economic - Other</v>
      </c>
      <c r="I258" s="12" t="str">
        <v>(Shareholders' funds + Non-current liabilities) / Total assets</v>
      </c>
      <c r="J258" s="9" t="str">
        <v>This indicator measures the ratio of shareholders' funds and non-current liabilities to total assets.</v>
      </c>
      <c r="K258" s="9" t="str">
        <v>Quantitative</v>
      </c>
      <c r="L258" s="9" t="str">
        <v>%</v>
      </c>
      <c r="M258" s="9" t="str">
        <v>-</v>
      </c>
      <c r="N258" s="9">
        <v>1</v>
      </c>
      <c r="O258" s="9" t="str">
        <v>Kocmanová et al. 2015</v>
      </c>
      <c r="P258" s="9" t="str">
        <v>Company</v>
      </c>
      <c r="Q258" s="9" t="str">
        <v>13 Manufacture of textiles; 22 Manufacture of rubber and plastic products; 24 Manufacture of basic metals; 25 Manufacture of fabricated metal products, except machinery and equipment; 26 Manufacture of computer, electronic and optical products; 27 Manufacture of electrical equipment; 28 Manufacture of machinery and equipment n.e.c.</v>
      </c>
      <c r="R258" s="9" t="str">
        <v>not specified</v>
      </c>
      <c r="S258" s="9" t="str">
        <v>Large</v>
      </c>
    </row>
    <row r="259" spans="1:19" ht="51.5" customHeight="1" x14ac:dyDescent="0.35">
      <c r="A259" s="9" t="str">
        <v>23-049</v>
      </c>
      <c r="B259" s="9" t="str">
        <v>Management processes</v>
      </c>
      <c r="C259" s="9" t="str">
        <v>Financial performance</v>
      </c>
      <c r="D259" s="9" t="str">
        <v>Management processes - Financial performance</v>
      </c>
      <c r="E259" s="9" t="str">
        <v>x</v>
      </c>
      <c r="F259" s="9">
        <v>0</v>
      </c>
      <c r="G259" s="9" t="str">
        <v>Other</v>
      </c>
      <c r="H259" s="9" t="str">
        <v>Economic - Other</v>
      </c>
      <c r="I259" s="12" t="str">
        <v>(EAT + Interest paid) / (Non-current liabilities + Shareholders' funds)</v>
      </c>
      <c r="J259" s="9" t="str">
        <v>This indicator measures the ratio of EAT and interest paid to shareholders' funds and non-current liabilities.</v>
      </c>
      <c r="K259" s="9" t="str">
        <v>Quantitative</v>
      </c>
      <c r="L259" s="9" t="str">
        <v>%</v>
      </c>
      <c r="M259" s="9" t="str">
        <v>-</v>
      </c>
      <c r="N259" s="9">
        <v>1</v>
      </c>
      <c r="O259" s="9" t="str">
        <v>Kocmanová et al. 2015</v>
      </c>
      <c r="P259" s="9" t="str">
        <v>Company</v>
      </c>
      <c r="Q259" s="9" t="str">
        <v>13 Manufacture of textiles; 22 Manufacture of rubber and plastic products; 24 Manufacture of basic metals; 25 Manufacture of fabricated metal products, except machinery and equipment; 26 Manufacture of computer, electronic and optical products; 27 Manufacture of electrical equipment; 28 Manufacture of machinery and equipment n.e.c.</v>
      </c>
      <c r="R259" s="9" t="str">
        <v>not specified</v>
      </c>
      <c r="S259" s="9" t="str">
        <v>Large</v>
      </c>
    </row>
    <row r="260" spans="1:19" ht="51.5" customHeight="1" x14ac:dyDescent="0.35">
      <c r="A260" s="9" t="str">
        <v>23-050</v>
      </c>
      <c r="B260" s="9" t="str">
        <v>Management processes</v>
      </c>
      <c r="C260" s="9" t="str">
        <v>Financial performance</v>
      </c>
      <c r="D260" s="9" t="str">
        <v>Management processes - Financial performance</v>
      </c>
      <c r="E260" s="9" t="str">
        <v>x</v>
      </c>
      <c r="F260" s="9">
        <v>0</v>
      </c>
      <c r="G260" s="9" t="str">
        <v>Other</v>
      </c>
      <c r="H260" s="9" t="str">
        <v>Economic - Other</v>
      </c>
      <c r="I260" s="12" t="str">
        <v>Board meetings and stakeholder meetings</v>
      </c>
      <c r="J260" s="9" t="str">
        <v>This indicator measures the number of board meetings and stakeholder meetings.</v>
      </c>
      <c r="K260" s="9" t="str">
        <v>Quantitative</v>
      </c>
      <c r="L260" s="9" t="str">
        <v>#</v>
      </c>
      <c r="M260" s="9" t="str">
        <v>-</v>
      </c>
      <c r="N260" s="9">
        <v>1</v>
      </c>
      <c r="O260" s="9" t="str">
        <v>Lee &amp; Farzipoor Saen 2012</v>
      </c>
      <c r="P260" s="9" t="str">
        <v>Company</v>
      </c>
      <c r="Q260" s="9" t="str">
        <v>24 Manufacture of basic metals; 26 Manufacture of computer, electronic and optical products; 29 Manufacture of motor vehicles, trailers and semi-trailers</v>
      </c>
      <c r="R260" s="9" t="str">
        <v>not specified</v>
      </c>
      <c r="S260" s="9" t="str">
        <v>Large</v>
      </c>
    </row>
    <row r="261" spans="1:19" ht="51.5" customHeight="1" x14ac:dyDescent="0.35">
      <c r="A261" s="9" t="str">
        <v>23-051</v>
      </c>
      <c r="B261" s="9" t="str">
        <v>Management processes</v>
      </c>
      <c r="C261" s="9" t="str">
        <v>Financial performance</v>
      </c>
      <c r="D261" s="9" t="str">
        <v>Management processes - Financial performance</v>
      </c>
      <c r="E261" s="9" t="str">
        <v>x</v>
      </c>
      <c r="F261" s="9">
        <v>0</v>
      </c>
      <c r="G261" s="9" t="str">
        <v>Cost</v>
      </c>
      <c r="H261" s="9" t="str">
        <v>Economic - Cost</v>
      </c>
      <c r="I261" s="12" t="str">
        <v>Tax payments</v>
      </c>
      <c r="J261" s="9" t="str">
        <v>This indicator measures the total sum of tax payments.</v>
      </c>
      <c r="K261" s="9" t="str">
        <v>Quantitative</v>
      </c>
      <c r="L261" s="9" t="str">
        <v>€</v>
      </c>
      <c r="M261" s="9" t="str">
        <v>207-4</v>
      </c>
      <c r="N261" s="9">
        <v>6</v>
      </c>
      <c r="O261" s="9" t="str">
        <v>Cagno et al. 2019; Feil et al. 2017; Feil et al. 2019; Hartini et al. 2020; Huang &amp; Badurdeen 2017; Kaldas et al. 2021</v>
      </c>
      <c r="P261" s="9" t="str">
        <v>Company; Factory</v>
      </c>
      <c r="Q261" s="9" t="str">
        <v>13 Manufacture of textiles; 24 Manufacture of basic metals; 26 Manufacture of computer, electronic and optical products; 28 Manufacture of machinery and equipment n.e.c.; 31 Manufacture of furniture; not specified</v>
      </c>
      <c r="R261" s="9" t="str">
        <v>Original forming; Separating; Joining; Coating and finishing; Change of material properties; not specified</v>
      </c>
      <c r="S261" s="9" t="str">
        <v>Micro; Small; Medium; Large; not specified</v>
      </c>
    </row>
    <row r="262" spans="1:19" ht="51.5" customHeight="1" x14ac:dyDescent="0.35">
      <c r="A262" s="9" t="str">
        <v>23-052</v>
      </c>
      <c r="B262" s="9" t="str">
        <v>Management processes</v>
      </c>
      <c r="C262" s="9" t="str">
        <v>Financial performance</v>
      </c>
      <c r="D262" s="9" t="str">
        <v>Management processes - Financial performance</v>
      </c>
      <c r="E262" s="9">
        <v>0</v>
      </c>
      <c r="F262" s="9" t="str">
        <v>x</v>
      </c>
      <c r="G262" s="9" t="str">
        <v>Other</v>
      </c>
      <c r="H262" s="9" t="str">
        <v>Environmental - Other</v>
      </c>
      <c r="I262" s="12" t="str">
        <v>Return on investment for environmental improvement projects</v>
      </c>
      <c r="J262" s="9" t="str">
        <v>This indicator measures the return on investment for environmental improvement projects.</v>
      </c>
      <c r="K262" s="9" t="str">
        <v>Quantitative</v>
      </c>
      <c r="L262" s="9" t="str">
        <v>%</v>
      </c>
      <c r="M262" s="9" t="str">
        <v>-</v>
      </c>
      <c r="N262" s="9">
        <v>1</v>
      </c>
      <c r="O262" s="9" t="str">
        <v>ISO14031</v>
      </c>
      <c r="P262" s="9" t="str">
        <v>Company; Factory</v>
      </c>
      <c r="Q262" s="9" t="str">
        <v>not specified</v>
      </c>
      <c r="R262" s="9" t="str">
        <v>not specified</v>
      </c>
      <c r="S262" s="9" t="str">
        <v>not specified</v>
      </c>
    </row>
    <row r="263" spans="1:19" ht="51.5" customHeight="1" x14ac:dyDescent="0.35">
      <c r="A263" s="9" t="str">
        <v>23-053</v>
      </c>
      <c r="B263" s="9" t="str">
        <v>Management processes</v>
      </c>
      <c r="C263" s="9" t="str">
        <v>Financial performance</v>
      </c>
      <c r="D263" s="9" t="str">
        <v>Management processes - Financial performance</v>
      </c>
      <c r="E263" s="9">
        <v>0</v>
      </c>
      <c r="F263" s="9" t="str">
        <v>x</v>
      </c>
      <c r="G263" s="9" t="str">
        <v>Other</v>
      </c>
      <c r="H263" s="9" t="str">
        <v>Environmental - Other</v>
      </c>
      <c r="I263" s="12" t="str">
        <v>Savings achieved through reductions in resource usage, prevention of pollution, or waste recycling</v>
      </c>
      <c r="J263" s="9" t="str">
        <v>This indicator measures savings achieved through reductions in resource usage, prevention of pollution, or waste recycling.</v>
      </c>
      <c r="K263" s="9" t="str">
        <v>Quantitative</v>
      </c>
      <c r="L263" s="9" t="str">
        <v>€</v>
      </c>
      <c r="M263" s="9" t="str">
        <v>-</v>
      </c>
      <c r="N263" s="9">
        <v>1</v>
      </c>
      <c r="O263" s="9" t="str">
        <v>ISO14031</v>
      </c>
      <c r="P263" s="9" t="str">
        <v>Company; Factory</v>
      </c>
      <c r="Q263" s="9" t="str">
        <v>not specified</v>
      </c>
      <c r="R263" s="9" t="str">
        <v>not specified</v>
      </c>
      <c r="S263" s="9" t="str">
        <v>not specified</v>
      </c>
    </row>
    <row r="264" spans="1:19" ht="51.5" customHeight="1" x14ac:dyDescent="0.35">
      <c r="A264" s="9" t="str">
        <v>23-054</v>
      </c>
      <c r="B264" s="9" t="str">
        <v>Management processes</v>
      </c>
      <c r="C264" s="9" t="str">
        <v>Financial performance</v>
      </c>
      <c r="D264" s="9" t="str">
        <v>Management processes - Financial performance</v>
      </c>
      <c r="E264" s="9">
        <v>0</v>
      </c>
      <c r="F264" s="9" t="str">
        <v>x</v>
      </c>
      <c r="G264" s="9" t="str">
        <v>Other</v>
      </c>
      <c r="H264" s="9" t="str">
        <v>Environmental - Other</v>
      </c>
      <c r="I264" s="12" t="str">
        <v>Sales revenue attributable to a new product or by-product designed to meet environmental performance or design objectives</v>
      </c>
      <c r="J264" s="9" t="str">
        <v>This indicator measures sales revenue attributable to a new product or by-product designed to meet environmental performance or design objectives.</v>
      </c>
      <c r="K264" s="9" t="str">
        <v>Quantitative</v>
      </c>
      <c r="L264" s="9" t="str">
        <v>€</v>
      </c>
      <c r="M264" s="9" t="str">
        <v>-</v>
      </c>
      <c r="N264" s="9">
        <v>1</v>
      </c>
      <c r="O264" s="9" t="str">
        <v>ISO14031</v>
      </c>
      <c r="P264" s="9" t="str">
        <v>Company; Factory</v>
      </c>
      <c r="Q264" s="9" t="str">
        <v>not specified</v>
      </c>
      <c r="R264" s="9" t="str">
        <v>not specified</v>
      </c>
      <c r="S264" s="9" t="str">
        <v>not specified</v>
      </c>
    </row>
    <row r="265" spans="1:19" ht="51.5" customHeight="1" x14ac:dyDescent="0.35">
      <c r="A265" s="9" t="str">
        <v>23-055</v>
      </c>
      <c r="B265" s="9" t="str">
        <v>Management processes</v>
      </c>
      <c r="C265" s="9" t="str">
        <v>Financial performance</v>
      </c>
      <c r="D265" s="9" t="str">
        <v>Management processes - Financial performance</v>
      </c>
      <c r="E265" s="9" t="str">
        <v>x</v>
      </c>
      <c r="F265" s="9">
        <v>0</v>
      </c>
      <c r="G265" s="9" t="str">
        <v>Other</v>
      </c>
      <c r="H265" s="9" t="str">
        <v>Economic - Other</v>
      </c>
      <c r="I265" s="12" t="str">
        <v>Direct economic value generated and distributed</v>
      </c>
      <c r="J265" s="9" t="str">
        <v>This indicator measures the direct economic value generated and distributed, which consists of revenues, operating costs, salaries and employee benefits, payments to suppliers of capital, payments to governments, and community investments.</v>
      </c>
      <c r="K265" s="9" t="str">
        <v>Quantitative</v>
      </c>
      <c r="L265" s="9" t="str">
        <v>€</v>
      </c>
      <c r="M265" s="9" t="str">
        <v>201-1</v>
      </c>
      <c r="N265" s="9">
        <v>2</v>
      </c>
      <c r="O265" s="9" t="str">
        <v>Salvado et al. 2015; Taddese et al. 2020</v>
      </c>
      <c r="P265" s="9" t="str">
        <v>Company; Process</v>
      </c>
      <c r="Q265" s="9" t="str">
        <v>29 Manufacture of motor vehicles, trailers and semi-trailers; not specified</v>
      </c>
      <c r="R265" s="9" t="str">
        <v>Original forming; not specified</v>
      </c>
      <c r="S265" s="9" t="str">
        <v>Large; not specified</v>
      </c>
    </row>
    <row r="266" spans="1:19" ht="51.5" customHeight="1" x14ac:dyDescent="0.35">
      <c r="A266" s="9" t="str">
        <v>24-001</v>
      </c>
      <c r="B266" s="9" t="str">
        <v>Management processes</v>
      </c>
      <c r="C266" s="9" t="str">
        <v>Community relations</v>
      </c>
      <c r="D266" s="9" t="str">
        <v>Management processes - Community relations</v>
      </c>
      <c r="E266" s="9">
        <v>0</v>
      </c>
      <c r="F266" s="9" t="str">
        <v>x</v>
      </c>
      <c r="G266" s="9" t="str">
        <v>Other</v>
      </c>
      <c r="H266" s="9" t="str">
        <v>Environmental - Other</v>
      </c>
      <c r="I266" s="12" t="str">
        <v>Environmental reporting</v>
      </c>
      <c r="J266" s="9" t="str">
        <v>This indicator queries whether the organization discloses its environmental policies. (yes/ no, which type)</v>
      </c>
      <c r="K266" s="9" t="str">
        <v>Qualitative</v>
      </c>
      <c r="L266" s="9" t="str">
        <v>descriptive</v>
      </c>
      <c r="M266" s="9" t="str">
        <v>-</v>
      </c>
      <c r="N266" s="9">
        <v>2</v>
      </c>
      <c r="O266" s="9" t="str">
        <v>Rahdari &amp; Anvary Rostamy 2015; ISO14031</v>
      </c>
      <c r="P266" s="9" t="str">
        <v>Company; Factory</v>
      </c>
      <c r="Q266" s="9" t="str">
        <v>not specified</v>
      </c>
      <c r="R266" s="9" t="str">
        <v>not specified</v>
      </c>
      <c r="S266" s="9" t="str">
        <v>not specified</v>
      </c>
    </row>
    <row r="267" spans="1:19" ht="51.5" customHeight="1" x14ac:dyDescent="0.35">
      <c r="A267" s="9" t="str">
        <v>24-002</v>
      </c>
      <c r="B267" s="9" t="str">
        <v>Management processes</v>
      </c>
      <c r="C267" s="9" t="str">
        <v>Community relations</v>
      </c>
      <c r="D267" s="9" t="str">
        <v>Management processes - Community relations</v>
      </c>
      <c r="E267" s="9">
        <v>0</v>
      </c>
      <c r="F267" s="9" t="str">
        <v>x</v>
      </c>
      <c r="G267" s="9" t="str">
        <v>Biodiversity &amp; Ecosystems</v>
      </c>
      <c r="H267" s="9" t="str">
        <v>Environmental - Biodiversity &amp; Ecosystems</v>
      </c>
      <c r="I267" s="12" t="str">
        <v>Wildlife programs</v>
      </c>
      <c r="J267" s="9" t="str">
        <v>This indicator measures the number of sites with wildlife programs.</v>
      </c>
      <c r="K267" s="9" t="str">
        <v>Quantitative</v>
      </c>
      <c r="L267" s="9" t="str">
        <v>#</v>
      </c>
      <c r="M267" s="9" t="str">
        <v>-</v>
      </c>
      <c r="N267" s="9">
        <v>1</v>
      </c>
      <c r="O267" s="9" t="str">
        <v>ISO14031</v>
      </c>
      <c r="P267" s="9" t="str">
        <v>Company; Factory</v>
      </c>
      <c r="Q267" s="9" t="str">
        <v>not specified</v>
      </c>
      <c r="R267" s="9" t="str">
        <v>not specified</v>
      </c>
      <c r="S267" s="9" t="str">
        <v>not specified</v>
      </c>
    </row>
    <row r="268" spans="1:19" ht="51.5" customHeight="1" x14ac:dyDescent="0.35">
      <c r="A268" s="9" t="str">
        <v>24-003</v>
      </c>
      <c r="B268" s="9" t="str">
        <v>Management processes</v>
      </c>
      <c r="C268" s="9" t="str">
        <v>Community relations</v>
      </c>
      <c r="D268" s="9" t="str">
        <v>Management processes - Community relations</v>
      </c>
      <c r="E268" s="9" t="str">
        <v>x</v>
      </c>
      <c r="F268" s="9">
        <v>0</v>
      </c>
      <c r="G268" s="9" t="str">
        <v>Investments</v>
      </c>
      <c r="H268" s="9" t="str">
        <v>Economic - Investments</v>
      </c>
      <c r="I268" s="12" t="str">
        <v>Investment in community development</v>
      </c>
      <c r="J268" s="9" t="str">
        <v>This indicator measures the amount of investment in community development (infrastructure and services), e.g., in schools or hospitals.</v>
      </c>
      <c r="K268" s="9" t="str">
        <v>Quantitative</v>
      </c>
      <c r="L268" s="9" t="str">
        <v>€</v>
      </c>
      <c r="M268" s="9" t="str">
        <v>203-1</v>
      </c>
      <c r="N268" s="9">
        <v>2</v>
      </c>
      <c r="O268" s="9" t="str">
        <v>Cagno et al. 2019; Taddese et al. 2020</v>
      </c>
      <c r="P268" s="9" t="str">
        <v>Company; Process</v>
      </c>
      <c r="Q268" s="9" t="str">
        <v>13 Manufacture of textiles; 24 Manufacture of basic metals; 28 Manufacture of machinery and equipment n.e.c.; 31 Manufacture of furniture; not specified</v>
      </c>
      <c r="R268" s="9" t="str">
        <v>Original forming; not specified</v>
      </c>
      <c r="S268" s="9" t="str">
        <v>Small; Medium; Large; not specified</v>
      </c>
    </row>
    <row r="269" spans="1:19" ht="51.5" customHeight="1" x14ac:dyDescent="0.35">
      <c r="A269" s="9" t="str">
        <v>24-004</v>
      </c>
      <c r="B269" s="9" t="str">
        <v>Management processes</v>
      </c>
      <c r="C269" s="9" t="str">
        <v>Community relations</v>
      </c>
      <c r="D269" s="9" t="str">
        <v>Management processes - Community relations</v>
      </c>
      <c r="E269" s="9">
        <v>0</v>
      </c>
      <c r="F269" s="9" t="str">
        <v>x</v>
      </c>
      <c r="G269" s="9" t="str">
        <v>Other</v>
      </c>
      <c r="H269" s="9" t="str">
        <v>Environmental - Other</v>
      </c>
      <c r="I269" s="12" t="str">
        <v>Resources applied to support of community environmental programs</v>
      </c>
      <c r="J269" s="9" t="str">
        <v>This indicator measures the resources applied to the support of community environmental programs.</v>
      </c>
      <c r="K269" s="9" t="str">
        <v>Quantitative</v>
      </c>
      <c r="L269" s="9" t="str">
        <v>€</v>
      </c>
      <c r="M269" s="9" t="str">
        <v>-</v>
      </c>
      <c r="N269" s="9">
        <v>1</v>
      </c>
      <c r="O269" s="9" t="str">
        <v>ISO14031</v>
      </c>
      <c r="P269" s="9" t="str">
        <v>Company; Factory</v>
      </c>
      <c r="Q269" s="9" t="str">
        <v>not specified</v>
      </c>
      <c r="R269" s="9" t="str">
        <v>not specified</v>
      </c>
      <c r="S269" s="9" t="str">
        <v>not specified</v>
      </c>
    </row>
    <row r="270" spans="1:19" ht="51.5" customHeight="1" x14ac:dyDescent="0.35">
      <c r="A270" s="9" t="str">
        <v>24-005</v>
      </c>
      <c r="B270" s="9" t="str">
        <v>Management processes</v>
      </c>
      <c r="C270" s="9" t="str">
        <v>Community relations</v>
      </c>
      <c r="D270" s="9" t="str">
        <v>Management processes - Community relations</v>
      </c>
      <c r="E270" s="9" t="str">
        <v>x</v>
      </c>
      <c r="F270" s="9">
        <v>0</v>
      </c>
      <c r="G270" s="9" t="str">
        <v>Investments</v>
      </c>
      <c r="H270" s="9" t="str">
        <v>Economic - Investments</v>
      </c>
      <c r="I270" s="12" t="str">
        <v>Ethics/ philanthropy investment</v>
      </c>
      <c r="J270" s="9" t="str">
        <v>This indicator measures the total investment regarding ethics and philanthropy.</v>
      </c>
      <c r="K270" s="9" t="str">
        <v>Quantitative</v>
      </c>
      <c r="L270" s="9" t="str">
        <v>€</v>
      </c>
      <c r="M270" s="9" t="str">
        <v>-</v>
      </c>
      <c r="N270" s="9">
        <v>2</v>
      </c>
      <c r="O270" s="9" t="str">
        <v>Azapagic &amp; Perdan 2000; Cagno et al. 2019</v>
      </c>
      <c r="P270" s="9" t="str">
        <v>Company</v>
      </c>
      <c r="Q270" s="9" t="str">
        <v>13 Manufacture of textiles; 24 Manufacture of basic metals; 28 Manufacture of machinery and equipment n.e.c.; 31 Manufacture of furniture; not specified</v>
      </c>
      <c r="R270" s="9" t="str">
        <v>not specified</v>
      </c>
      <c r="S270" s="9" t="str">
        <v>Small; Medium; Large; not specified</v>
      </c>
    </row>
    <row r="271" spans="1:19" ht="51.5" customHeight="1" x14ac:dyDescent="0.35">
      <c r="A271" s="9" t="str">
        <v>24-006</v>
      </c>
      <c r="B271" s="9" t="str">
        <v>Management processes</v>
      </c>
      <c r="C271" s="9" t="str">
        <v>Community relations</v>
      </c>
      <c r="D271" s="9" t="str">
        <v>Management processes - Community relations</v>
      </c>
      <c r="E271" s="9">
        <v>0</v>
      </c>
      <c r="F271" s="9" t="str">
        <v>x</v>
      </c>
      <c r="G271" s="9" t="str">
        <v>Other</v>
      </c>
      <c r="H271" s="9" t="str">
        <v>Environmental - Other</v>
      </c>
      <c r="I271" s="12" t="str">
        <v>External inquiries or comments about environmentally related matters</v>
      </c>
      <c r="J271" s="9" t="str">
        <v>This indicator measures the number of external inquiries or comments about environmentally related matters.</v>
      </c>
      <c r="K271" s="9" t="str">
        <v>Quantitative</v>
      </c>
      <c r="L271" s="9" t="str">
        <v>#</v>
      </c>
      <c r="M271" s="9" t="str">
        <v>-</v>
      </c>
      <c r="N271" s="9">
        <v>1</v>
      </c>
      <c r="O271" s="9" t="str">
        <v>ISO14031</v>
      </c>
      <c r="P271" s="9" t="str">
        <v>Company; Factory</v>
      </c>
      <c r="Q271" s="9" t="str">
        <v>not specified</v>
      </c>
      <c r="R271" s="9" t="str">
        <v>not specified</v>
      </c>
      <c r="S271" s="9" t="str">
        <v>not specified</v>
      </c>
    </row>
    <row r="272" spans="1:19" ht="51.5" customHeight="1" x14ac:dyDescent="0.35">
      <c r="A272" s="9" t="str">
        <v>24-007</v>
      </c>
      <c r="B272" s="9" t="str">
        <v>Management processes</v>
      </c>
      <c r="C272" s="9" t="str">
        <v>Community relations</v>
      </c>
      <c r="D272" s="9" t="str">
        <v>Management processes - Community relations</v>
      </c>
      <c r="E272" s="9">
        <v>0</v>
      </c>
      <c r="F272" s="9" t="str">
        <v>x</v>
      </c>
      <c r="G272" s="9" t="str">
        <v>Other</v>
      </c>
      <c r="H272" s="9" t="str">
        <v>Environmental - Other</v>
      </c>
      <c r="I272" s="12" t="str">
        <v>Press reports on the organization's environmental performance</v>
      </c>
      <c r="J272" s="9" t="str">
        <v>This indicator measures the number of press reports on the organization's environmental performance.</v>
      </c>
      <c r="K272" s="9" t="str">
        <v>Quantitative</v>
      </c>
      <c r="L272" s="9" t="str">
        <v>#</v>
      </c>
      <c r="M272" s="9" t="str">
        <v>-</v>
      </c>
      <c r="N272" s="9">
        <v>1</v>
      </c>
      <c r="O272" s="9" t="str">
        <v>ISO14031</v>
      </c>
      <c r="P272" s="9" t="str">
        <v>Company; Factory</v>
      </c>
      <c r="Q272" s="9" t="str">
        <v>not specified</v>
      </c>
      <c r="R272" s="9" t="str">
        <v>not specified</v>
      </c>
      <c r="S272" s="9" t="str">
        <v>not specified</v>
      </c>
    </row>
    <row r="273" spans="1:19" ht="51.5" customHeight="1" x14ac:dyDescent="0.35">
      <c r="A273" s="9" t="str">
        <v>24-008</v>
      </c>
      <c r="B273" s="9" t="str">
        <v>Management processes</v>
      </c>
      <c r="C273" s="9" t="str">
        <v>Community relations</v>
      </c>
      <c r="D273" s="9" t="str">
        <v>Management processes - Community relations</v>
      </c>
      <c r="E273" s="9">
        <v>0</v>
      </c>
      <c r="F273" s="9" t="str">
        <v>x</v>
      </c>
      <c r="G273" s="9" t="str">
        <v>Other</v>
      </c>
      <c r="H273" s="9" t="str">
        <v>Environmental - Other</v>
      </c>
      <c r="I273" s="12" t="str">
        <v>Approval ratings from community surveys</v>
      </c>
      <c r="J273" s="9" t="str">
        <v>This indicator measures approval ratings from community surveys.</v>
      </c>
      <c r="K273" s="9" t="str">
        <v>Quantitative</v>
      </c>
      <c r="L273" s="9" t="str">
        <v>%</v>
      </c>
      <c r="M273" s="9" t="str">
        <v>-</v>
      </c>
      <c r="N273" s="9">
        <v>1</v>
      </c>
      <c r="O273" s="9" t="str">
        <v>ISO14031</v>
      </c>
      <c r="P273" s="9" t="str">
        <v>Company; Factory</v>
      </c>
      <c r="Q273" s="9" t="str">
        <v>not specified</v>
      </c>
      <c r="R273" s="9" t="str">
        <v>not specified</v>
      </c>
      <c r="S273" s="9" t="str">
        <v>not specified</v>
      </c>
    </row>
    <row r="274" spans="1:19" ht="51.5" customHeight="1" x14ac:dyDescent="0.35">
      <c r="A274" s="9" t="str">
        <v>31-001</v>
      </c>
      <c r="B274" s="9" t="str">
        <v>Operational processes</v>
      </c>
      <c r="C274" s="9" t="str">
        <v>Operational efficiency</v>
      </c>
      <c r="D274" s="9" t="str">
        <v>Operational processes - Operational efficiency</v>
      </c>
      <c r="E274" s="9" t="str">
        <v>x</v>
      </c>
      <c r="F274" s="9">
        <v>0</v>
      </c>
      <c r="G274" s="9" t="str">
        <v>Cost</v>
      </c>
      <c r="H274" s="9" t="str">
        <v>Economic - Cost</v>
      </c>
      <c r="I274" s="12" t="str">
        <v>Production cost</v>
      </c>
      <c r="J274" s="9" t="str">
        <v>This indicator measures the costs incurred from manufacturing. It includes labor cost, raw material cost, and general overhead.</v>
      </c>
      <c r="K274" s="9" t="str">
        <v>Quantitative</v>
      </c>
      <c r="L274" s="9" t="str">
        <v>€</v>
      </c>
      <c r="M274" s="9" t="str">
        <v>-</v>
      </c>
      <c r="N274" s="9">
        <v>9</v>
      </c>
      <c r="O274" s="9" t="str">
        <v>Avram et al. 2011; Bhanot et al. 2016a; Bhanot et al. 2016b; Cagno et al. 2019; Cagno et al. 2023; Hatim et al. 2020; Jiang et al. 2019; Mengistu &amp; Panizzolo 2023a; Soltani et al. 2019</v>
      </c>
      <c r="P274" s="9" t="str">
        <v>Company; Work cell; Process</v>
      </c>
      <c r="Q274" s="9" t="str">
        <v>13 Manufacture of textiles; 23 Manufacture of other non-metallic mineral products; 24 Manufacture of basic metals; 25 Manufacture of fabricated metal products, except machinery and equipment; 27 Manufacture of electrical equipment; 28 Manufacture of machinery and equipment n.e.c.; 29 Manufacture of motor vehicles, trailers and semi-trailers; 31 Manufacture of furniture; not specified</v>
      </c>
      <c r="R274" s="9" t="str">
        <v>Transforming; Separating; Joining; Coating and finishing; Change of material properties; not specified</v>
      </c>
      <c r="S274" s="9" t="str">
        <v>Small; Medium; Large; not specified</v>
      </c>
    </row>
    <row r="275" spans="1:19" ht="51.5" customHeight="1" x14ac:dyDescent="0.35">
      <c r="A275" s="9" t="str">
        <v>31-002</v>
      </c>
      <c r="B275" s="9" t="str">
        <v>Operational processes</v>
      </c>
      <c r="C275" s="9" t="str">
        <v>Operational efficiency</v>
      </c>
      <c r="D275" s="9" t="str">
        <v>Operational processes - Operational efficiency</v>
      </c>
      <c r="E275" s="9" t="str">
        <v>x</v>
      </c>
      <c r="F275" s="9">
        <v>0</v>
      </c>
      <c r="G275" s="9" t="str">
        <v>Cost</v>
      </c>
      <c r="H275" s="9" t="str">
        <v>Economic - Cost</v>
      </c>
      <c r="I275" s="12" t="str">
        <v>Takt cost</v>
      </c>
      <c r="J275" s="9" t="str">
        <v>This indicator measures the takt cost, which can be calculated as the ratio of the sum of operation costs to a reference value for the overall equipment efficiency (85%). It can also be determined by market analysis (target cost).</v>
      </c>
      <c r="K275" s="9" t="str">
        <v>Quantitative</v>
      </c>
      <c r="L275" s="9" t="str">
        <v>€</v>
      </c>
      <c r="M275" s="9" t="str">
        <v>-</v>
      </c>
      <c r="N275" s="9">
        <v>3</v>
      </c>
      <c r="O275" s="9" t="str">
        <v>Helleno et al. 2017; Swarnakar et al. 2021; Swarnakar et al. 2022</v>
      </c>
      <c r="P275" s="9" t="str">
        <v>Production line; Process</v>
      </c>
      <c r="Q275" s="9" t="str">
        <v>22 Manufacture of rubber and plastic products; 28 Manufacture of machinery and equipment n.e.c.; 29 Manufacture of motor vehicles, trailers and semi-trailers; not specified</v>
      </c>
      <c r="R275" s="9" t="str">
        <v>Original forming; Transforming; Separating; Coating and finishing; Change of material properties; not specified</v>
      </c>
      <c r="S275" s="9" t="str">
        <v>not specified</v>
      </c>
    </row>
    <row r="276" spans="1:19" ht="51.5" customHeight="1" x14ac:dyDescent="0.35">
      <c r="A276" s="9" t="str">
        <v>31-003</v>
      </c>
      <c r="B276" s="9" t="str">
        <v>Operational processes</v>
      </c>
      <c r="C276" s="9" t="str">
        <v>Operational efficiency</v>
      </c>
      <c r="D276" s="9" t="str">
        <v>Operational processes - Operational efficiency</v>
      </c>
      <c r="E276" s="9" t="str">
        <v>x</v>
      </c>
      <c r="F276" s="9">
        <v>0</v>
      </c>
      <c r="G276" s="9" t="str">
        <v>Cost</v>
      </c>
      <c r="H276" s="9" t="str">
        <v>Economic - Cost</v>
      </c>
      <c r="I276" s="12" t="str">
        <v>Scrap cost</v>
      </c>
      <c r="J276" s="9" t="str">
        <v>This indicator measures the total cost of scrapped material.</v>
      </c>
      <c r="K276" s="9" t="str">
        <v>Quantitative</v>
      </c>
      <c r="L276" s="9" t="str">
        <v>€</v>
      </c>
      <c r="M276" s="9" t="str">
        <v>-</v>
      </c>
      <c r="N276" s="9">
        <v>2</v>
      </c>
      <c r="O276" s="9" t="str">
        <v>Huang &amp; Badurdeen 2018; Kravchenko et al. 2019</v>
      </c>
      <c r="P276" s="9" t="str">
        <v>Company; Factory; Production line</v>
      </c>
      <c r="Q276" s="9" t="str">
        <v>13 Manufacture of textiles; 26 Manufacture of computer, electronic and optical products; 28 Manufacture of machinery and equipment n.e.c.; 31 Manufacture of furniture</v>
      </c>
      <c r="R276" s="9" t="str">
        <v>Original forming; Joining; Coating and finishing; Change of material properties; not specified</v>
      </c>
      <c r="S276" s="9" t="str">
        <v>Micro; Large; not specified</v>
      </c>
    </row>
    <row r="277" spans="1:19" ht="51.5" customHeight="1" x14ac:dyDescent="0.35">
      <c r="A277" s="9" t="str">
        <v>31-004</v>
      </c>
      <c r="B277" s="9" t="str">
        <v>Operational processes</v>
      </c>
      <c r="C277" s="9" t="str">
        <v>Operational efficiency</v>
      </c>
      <c r="D277" s="9" t="str">
        <v>Operational processes - Operational efficiency</v>
      </c>
      <c r="E277" s="9" t="str">
        <v>x</v>
      </c>
      <c r="F277" s="9">
        <v>0</v>
      </c>
      <c r="G277" s="9" t="str">
        <v>Cost</v>
      </c>
      <c r="H277" s="9" t="str">
        <v>Economic - Cost</v>
      </c>
      <c r="I277" s="12" t="str">
        <v>Rework cost</v>
      </c>
      <c r="J277" s="9" t="str">
        <v>This indicator measures the rework costs. Rework costs are determined from the point of time where rework is identified to the time when rework is completed and the activity has returned to the condition or state it was in originally.</v>
      </c>
      <c r="K277" s="9" t="str">
        <v>Quantitative</v>
      </c>
      <c r="L277" s="9" t="str">
        <v>€</v>
      </c>
      <c r="M277" s="9" t="str">
        <v>-</v>
      </c>
      <c r="N277" s="9">
        <v>2</v>
      </c>
      <c r="O277" s="9" t="str">
        <v>Amrina &amp; Yusof 2011; Kravchenko et al. 2019</v>
      </c>
      <c r="P277" s="9" t="str">
        <v>Company</v>
      </c>
      <c r="Q277" s="9" t="str">
        <v>13 Manufacture of textiles; 28 Manufacture of machinery and equipment n.e.c.; 29 Manufacture of motor vehicles, trailers and semi-trailers; 31 Manufacture of furniture</v>
      </c>
      <c r="R277" s="9" t="str">
        <v>not specified</v>
      </c>
      <c r="S277" s="9" t="str">
        <v>Micro; Large; not specified</v>
      </c>
    </row>
    <row r="278" spans="1:19" ht="51.5" customHeight="1" x14ac:dyDescent="0.35">
      <c r="A278" s="9" t="str">
        <v>31-005</v>
      </c>
      <c r="B278" s="9" t="str">
        <v>Operational processes</v>
      </c>
      <c r="C278" s="9" t="str">
        <v>Operational efficiency</v>
      </c>
      <c r="D278" s="9" t="str">
        <v>Operational processes - Operational efficiency</v>
      </c>
      <c r="E278" s="9" t="str">
        <v>x</v>
      </c>
      <c r="F278" s="9">
        <v>0</v>
      </c>
      <c r="G278" s="9" t="str">
        <v>Cost</v>
      </c>
      <c r="H278" s="9" t="str">
        <v>Economic - Cost</v>
      </c>
      <c r="I278" s="12" t="str">
        <v>Cost for transportation during manufacturing</v>
      </c>
      <c r="J278" s="9" t="str">
        <v>This indicator measures the costs of transport during manufacturing. It can be calculated as the distance times the fuel consumption times the cost of fuel.</v>
      </c>
      <c r="K278" s="9" t="str">
        <v>Quantitative</v>
      </c>
      <c r="L278" s="9" t="str">
        <v>€</v>
      </c>
      <c r="M278" s="9" t="str">
        <v>-</v>
      </c>
      <c r="N278" s="9">
        <v>1</v>
      </c>
      <c r="O278" s="9" t="str">
        <v>Kravchenko et al. 2019</v>
      </c>
      <c r="P278" s="9" t="str">
        <v>Company</v>
      </c>
      <c r="Q278" s="9" t="str">
        <v>13 Manufacture of textiles; 28 Manufacture of machinery and equipment n.e.c.; 31 Manufacture of furniture</v>
      </c>
      <c r="R278" s="9" t="str">
        <v>not specified</v>
      </c>
      <c r="S278" s="9" t="str">
        <v>Micro; Large</v>
      </c>
    </row>
    <row r="279" spans="1:19" ht="51.5" customHeight="1" x14ac:dyDescent="0.35">
      <c r="A279" s="9" t="str">
        <v>31-006</v>
      </c>
      <c r="B279" s="9" t="str">
        <v>Operational processes</v>
      </c>
      <c r="C279" s="9" t="str">
        <v>Operational efficiency</v>
      </c>
      <c r="D279" s="9" t="str">
        <v>Operational processes - Operational efficiency</v>
      </c>
      <c r="E279" s="9" t="str">
        <v>x</v>
      </c>
      <c r="F279" s="9">
        <v>0</v>
      </c>
      <c r="G279" s="9" t="str">
        <v>Cost</v>
      </c>
      <c r="H279" s="9" t="str">
        <v>Economic - Cost</v>
      </c>
      <c r="I279" s="12" t="str">
        <v>Setup cost</v>
      </c>
      <c r="J279" s="9" t="str">
        <v>This indicator measures the setup costs.</v>
      </c>
      <c r="K279" s="9" t="str">
        <v>Quantitative</v>
      </c>
      <c r="L279" s="9" t="str">
        <v>€</v>
      </c>
      <c r="M279" s="9" t="str">
        <v>-</v>
      </c>
      <c r="N279" s="9">
        <v>2</v>
      </c>
      <c r="O279" s="9" t="str">
        <v>Amrina &amp; Yusof 2011; Cagno et al. 2019</v>
      </c>
      <c r="P279" s="9" t="str">
        <v>Company</v>
      </c>
      <c r="Q279" s="9" t="str">
        <v>13 Manufacture of textiles; 24 Manufacture of basic metals; 28 Manufacture of machinery and equipment n.e.c.; 29 Manufacture of motor vehicles, trailers and semi-trailers; 31 Manufacture of furniture</v>
      </c>
      <c r="R279" s="9" t="str">
        <v>not specified</v>
      </c>
      <c r="S279" s="9" t="str">
        <v>Small; Medium; Large; not specified</v>
      </c>
    </row>
    <row r="280" spans="1:19" ht="51.5" customHeight="1" x14ac:dyDescent="0.35">
      <c r="A280" s="9" t="str">
        <v>31-007</v>
      </c>
      <c r="B280" s="9" t="str">
        <v>Operational processes</v>
      </c>
      <c r="C280" s="9" t="str">
        <v>Operational efficiency</v>
      </c>
      <c r="D280" s="9" t="str">
        <v>Operational processes - Operational efficiency</v>
      </c>
      <c r="E280" s="9" t="str">
        <v>x</v>
      </c>
      <c r="F280" s="9">
        <v>0</v>
      </c>
      <c r="G280" s="9" t="str">
        <v>Other</v>
      </c>
      <c r="H280" s="9" t="str">
        <v>Economic - Other</v>
      </c>
      <c r="I280" s="12" t="str">
        <v>Production time</v>
      </c>
      <c r="J280" s="9" t="str">
        <v>This indicator measures the production time.</v>
      </c>
      <c r="K280" s="9" t="str">
        <v>Quantitative</v>
      </c>
      <c r="L280" s="9" t="str">
        <v>unit of time</v>
      </c>
      <c r="M280" s="9" t="str">
        <v>-</v>
      </c>
      <c r="N280" s="9">
        <v>1</v>
      </c>
      <c r="O280" s="9" t="str">
        <v>Hatim et al. 2020</v>
      </c>
      <c r="P280" s="9" t="str">
        <v>Work cell</v>
      </c>
      <c r="Q280" s="9" t="str">
        <v>not specified</v>
      </c>
      <c r="R280" s="9" t="str">
        <v>Separating</v>
      </c>
      <c r="S280" s="9" t="str">
        <v>not specified</v>
      </c>
    </row>
    <row r="281" spans="1:19" ht="51.5" customHeight="1" x14ac:dyDescent="0.35">
      <c r="A281" s="9" t="str">
        <v>31-008</v>
      </c>
      <c r="B281" s="9" t="str">
        <v>Operational processes</v>
      </c>
      <c r="C281" s="9" t="str">
        <v>Operational efficiency</v>
      </c>
      <c r="D281" s="9" t="str">
        <v>Operational processes - Operational efficiency</v>
      </c>
      <c r="E281" s="9" t="str">
        <v>x</v>
      </c>
      <c r="F281" s="9">
        <v>0</v>
      </c>
      <c r="G281" s="9" t="str">
        <v>Other</v>
      </c>
      <c r="H281" s="9" t="str">
        <v>Economic - Other</v>
      </c>
      <c r="I281" s="12" t="str">
        <v>Cycle time</v>
      </c>
      <c r="J281" s="9" t="str">
        <v>This indicator measures the cycle time.</v>
      </c>
      <c r="K281" s="9" t="str">
        <v>Quantitative</v>
      </c>
      <c r="L281" s="9" t="str">
        <v>unit of time</v>
      </c>
      <c r="M281" s="9" t="str">
        <v>-</v>
      </c>
      <c r="N281" s="9">
        <v>5</v>
      </c>
      <c r="O281" s="9" t="str">
        <v>Amrina &amp; Yusof 2011; Lucato et al. 2018; Paju et al. 2011; Swarnakar et al. 2021; Swarnakar et al. 2022</v>
      </c>
      <c r="P281" s="9" t="str">
        <v>Company; Process</v>
      </c>
      <c r="Q281" s="9" t="str">
        <v>25 Manufacture of fabricated metal products, except machinery and equipment; 28 Manufacture of machinery and equipment n.e.c.; 29 Manufacture of motor vehicles, trailers and semi-trailers; not specified</v>
      </c>
      <c r="R281" s="9" t="str">
        <v>Original forming; Transforming; Separating; Joining; Coating and finishing; Change of material properties; not specified</v>
      </c>
      <c r="S281" s="9" t="str">
        <v>not specified</v>
      </c>
    </row>
    <row r="282" spans="1:19" ht="51.5" customHeight="1" x14ac:dyDescent="0.35">
      <c r="A282" s="9" t="str">
        <v>31-009</v>
      </c>
      <c r="B282" s="9" t="str">
        <v>Operational processes</v>
      </c>
      <c r="C282" s="9" t="str">
        <v>Operational efficiency</v>
      </c>
      <c r="D282" s="9" t="str">
        <v>Operational processes - Operational efficiency</v>
      </c>
      <c r="E282" s="9" t="str">
        <v>x</v>
      </c>
      <c r="F282" s="9">
        <v>0</v>
      </c>
      <c r="G282" s="9" t="str">
        <v>Other</v>
      </c>
      <c r="H282" s="9" t="str">
        <v>Economic - Other</v>
      </c>
      <c r="I282" s="12" t="str">
        <v>Setup time</v>
      </c>
      <c r="J282" s="9" t="str">
        <v>This indicator measures the setup time.</v>
      </c>
      <c r="K282" s="9" t="str">
        <v>Quantitative</v>
      </c>
      <c r="L282" s="9" t="str">
        <v>unit of time</v>
      </c>
      <c r="M282" s="9" t="str">
        <v>-</v>
      </c>
      <c r="N282" s="9">
        <v>2</v>
      </c>
      <c r="O282" s="9" t="str">
        <v>Garza-Reyes et al. 2018; Lucato et al. 2018</v>
      </c>
      <c r="P282" s="9" t="str">
        <v>Process</v>
      </c>
      <c r="Q282" s="9" t="str">
        <v>not specified</v>
      </c>
      <c r="R282" s="9" t="str">
        <v>Transforming; Separating; Change of material properties</v>
      </c>
      <c r="S282" s="9" t="str">
        <v>not specified</v>
      </c>
    </row>
    <row r="283" spans="1:19" ht="51.5" customHeight="1" x14ac:dyDescent="0.35">
      <c r="A283" s="9" t="str">
        <v>31-010</v>
      </c>
      <c r="B283" s="9" t="str">
        <v>Operational processes</v>
      </c>
      <c r="C283" s="9" t="str">
        <v>Operational efficiency</v>
      </c>
      <c r="D283" s="9" t="str">
        <v>Operational processes - Operational efficiency</v>
      </c>
      <c r="E283" s="9" t="str">
        <v>x</v>
      </c>
      <c r="F283" s="9">
        <v>0</v>
      </c>
      <c r="G283" s="9" t="str">
        <v>Other</v>
      </c>
      <c r="H283" s="9" t="str">
        <v>Economic - Other</v>
      </c>
      <c r="I283" s="12" t="str">
        <v>Delay time</v>
      </c>
      <c r="J283" s="9" t="str">
        <v>This indicator measures all set-up delays.</v>
      </c>
      <c r="K283" s="9" t="str">
        <v>Quantitative</v>
      </c>
      <c r="L283" s="9" t="str">
        <v>unit of time</v>
      </c>
      <c r="M283" s="9" t="str">
        <v>-</v>
      </c>
      <c r="N283" s="9">
        <v>1</v>
      </c>
      <c r="O283" s="9" t="str">
        <v>Garza-Reyes et al. 2018</v>
      </c>
      <c r="P283" s="9" t="str">
        <v>Process</v>
      </c>
      <c r="Q283" s="9" t="str">
        <v>not specified</v>
      </c>
      <c r="R283" s="9" t="str">
        <v>Transforming; Change of material properties</v>
      </c>
      <c r="S283" s="9" t="str">
        <v>not specified</v>
      </c>
    </row>
    <row r="284" spans="1:19" ht="51.5" customHeight="1" x14ac:dyDescent="0.35">
      <c r="A284" s="9" t="str">
        <v>31-011</v>
      </c>
      <c r="B284" s="9" t="str">
        <v>Operational processes</v>
      </c>
      <c r="C284" s="9" t="str">
        <v>Operational efficiency</v>
      </c>
      <c r="D284" s="9" t="str">
        <v>Operational processes - Operational efficiency</v>
      </c>
      <c r="E284" s="9" t="str">
        <v>x</v>
      </c>
      <c r="F284" s="9">
        <v>0</v>
      </c>
      <c r="G284" s="9" t="str">
        <v>Other</v>
      </c>
      <c r="H284" s="9" t="str">
        <v>Economic - Other</v>
      </c>
      <c r="I284" s="12" t="str">
        <v>Changeover time</v>
      </c>
      <c r="J284" s="9" t="str">
        <v>This indicator measures the changeover time.</v>
      </c>
      <c r="K284" s="9" t="str">
        <v>Quantitative</v>
      </c>
      <c r="L284" s="9" t="str">
        <v>unit of time</v>
      </c>
      <c r="M284" s="9" t="str">
        <v>-</v>
      </c>
      <c r="N284" s="9">
        <v>1</v>
      </c>
      <c r="O284" s="9" t="str">
        <v>Swarnakar et al. 2022</v>
      </c>
      <c r="P284" s="9" t="str">
        <v>Process</v>
      </c>
      <c r="Q284" s="9" t="str">
        <v>not specified</v>
      </c>
      <c r="R284" s="9" t="str">
        <v>not specified</v>
      </c>
      <c r="S284" s="9" t="str">
        <v>not specified</v>
      </c>
    </row>
    <row r="285" spans="1:19" ht="51.5" customHeight="1" x14ac:dyDescent="0.35">
      <c r="A285" s="9" t="str">
        <v>31-012</v>
      </c>
      <c r="B285" s="9" t="str">
        <v>Operational processes</v>
      </c>
      <c r="C285" s="9" t="str">
        <v>Operational efficiency</v>
      </c>
      <c r="D285" s="9" t="str">
        <v>Operational processes - Operational efficiency</v>
      </c>
      <c r="E285" s="9" t="str">
        <v>x</v>
      </c>
      <c r="F285" s="9">
        <v>0</v>
      </c>
      <c r="G285" s="9" t="str">
        <v>Other</v>
      </c>
      <c r="H285" s="9" t="str">
        <v>Economic - Other</v>
      </c>
      <c r="I285" s="12" t="str">
        <v>Uptime</v>
      </c>
      <c r="J285" s="9" t="str">
        <v>This indicator measures the total uptime.</v>
      </c>
      <c r="K285" s="9" t="str">
        <v>Quantitative</v>
      </c>
      <c r="L285" s="9" t="str">
        <v>unit of time</v>
      </c>
      <c r="M285" s="9" t="str">
        <v>-</v>
      </c>
      <c r="N285" s="9">
        <v>1</v>
      </c>
      <c r="O285" s="9" t="str">
        <v>Swarnakar et al. 2022</v>
      </c>
      <c r="P285" s="9" t="str">
        <v>Process</v>
      </c>
      <c r="Q285" s="9" t="str">
        <v>not specified</v>
      </c>
      <c r="R285" s="9" t="str">
        <v>not specified</v>
      </c>
      <c r="S285" s="9" t="str">
        <v>not specified</v>
      </c>
    </row>
    <row r="286" spans="1:19" ht="51.5" customHeight="1" x14ac:dyDescent="0.35">
      <c r="A286" s="9" t="str">
        <v>31-013</v>
      </c>
      <c r="B286" s="9" t="str">
        <v>Operational processes</v>
      </c>
      <c r="C286" s="9" t="str">
        <v>Operational efficiency</v>
      </c>
      <c r="D286" s="9" t="str">
        <v>Operational processes - Operational efficiency</v>
      </c>
      <c r="E286" s="9" t="str">
        <v>x</v>
      </c>
      <c r="F286" s="9">
        <v>0</v>
      </c>
      <c r="G286" s="9" t="str">
        <v>Other</v>
      </c>
      <c r="H286" s="9" t="str">
        <v>Economic - Other</v>
      </c>
      <c r="I286" s="12" t="str">
        <v>Lead time</v>
      </c>
      <c r="J286" s="9" t="str">
        <v>This indicator measures the lead time.</v>
      </c>
      <c r="K286" s="9" t="str">
        <v>Quantitative</v>
      </c>
      <c r="L286" s="9" t="str">
        <v>unit of time</v>
      </c>
      <c r="M286" s="9" t="str">
        <v>-</v>
      </c>
      <c r="N286" s="9">
        <v>9</v>
      </c>
      <c r="O286" s="9" t="str">
        <v>Amrina &amp; Yusof 2011; Brown et al. 2014; Cagno et al. 2019; Cagno et al. 2023; Huang &amp; Badurdeen 2018; Mengistu &amp; Panizzolo 2021; Mengistu &amp; Panizzolo 2023a; Mengistu &amp; Panizzolo 2023b; Winroth et al. 2016</v>
      </c>
      <c r="P286" s="9" t="str">
        <v>Company; Factory; Production line; Work cell</v>
      </c>
      <c r="Q286" s="9" t="str">
        <v>13 Manufacture of textiles; 15 Manufacture of leather and related products; 23 Manufacture of other non-metallic mineral products; 24 Manufacture of basic metals; 25 Manufacture of fabricated metal products, except machinery and equipment; 26 Manufacture of computer, electronic and optical products; 27 Manufacture of electrical equipment; 28 Manufacture of machinery and equipment n.e.c.; 29 Manufacture of motor vehicles, trailers and semi-trailers; 31 Manufacture of furniture; not specified</v>
      </c>
      <c r="R286" s="9" t="str">
        <v>Original forming; Separating; Joining; Coating and finishing; Change of material properties; not specified</v>
      </c>
      <c r="S286" s="9" t="str">
        <v>Small; Medium; Large; not specified</v>
      </c>
    </row>
    <row r="287" spans="1:19" ht="51.5" customHeight="1" x14ac:dyDescent="0.35">
      <c r="A287" s="9" t="str">
        <v>31-014</v>
      </c>
      <c r="B287" s="9" t="str">
        <v>Operational processes</v>
      </c>
      <c r="C287" s="9" t="str">
        <v>Operational efficiency</v>
      </c>
      <c r="D287" s="9" t="str">
        <v>Operational processes - Operational efficiency</v>
      </c>
      <c r="E287" s="9" t="str">
        <v>x</v>
      </c>
      <c r="F287" s="9">
        <v>0</v>
      </c>
      <c r="G287" s="9" t="str">
        <v>Other</v>
      </c>
      <c r="H287" s="9" t="str">
        <v>Economic - Other</v>
      </c>
      <c r="I287" s="12" t="str">
        <v>Machining time</v>
      </c>
      <c r="J287" s="9" t="str">
        <v>This indicator measures the machining time.</v>
      </c>
      <c r="K287" s="9" t="str">
        <v>Quantitative</v>
      </c>
      <c r="L287" s="9" t="str">
        <v>unit of time</v>
      </c>
      <c r="M287" s="9" t="str">
        <v>-</v>
      </c>
      <c r="N287" s="9">
        <v>1</v>
      </c>
      <c r="O287" s="9" t="str">
        <v>Avram et al. 2011</v>
      </c>
      <c r="P287" s="9" t="str">
        <v>Work cell; Process</v>
      </c>
      <c r="Q287" s="9" t="str">
        <v>not specified</v>
      </c>
      <c r="R287" s="9" t="str">
        <v>Separating</v>
      </c>
      <c r="S287" s="9" t="str">
        <v>not specified</v>
      </c>
    </row>
    <row r="288" spans="1:19" ht="51.5" customHeight="1" x14ac:dyDescent="0.35">
      <c r="A288" s="9" t="str">
        <v>31-015</v>
      </c>
      <c r="B288" s="9" t="str">
        <v>Operational processes</v>
      </c>
      <c r="C288" s="9" t="str">
        <v>Operational efficiency</v>
      </c>
      <c r="D288" s="9" t="str">
        <v>Operational processes - Operational efficiency</v>
      </c>
      <c r="E288" s="9" t="str">
        <v>x</v>
      </c>
      <c r="F288" s="9">
        <v>0</v>
      </c>
      <c r="G288" s="9" t="str">
        <v>Other</v>
      </c>
      <c r="H288" s="9" t="str">
        <v>Economic - Other</v>
      </c>
      <c r="I288" s="12" t="str">
        <v>Welding time</v>
      </c>
      <c r="J288" s="9" t="str">
        <v>This indicator measures the welding time.</v>
      </c>
      <c r="K288" s="9" t="str">
        <v>Quantitative</v>
      </c>
      <c r="L288" s="9" t="str">
        <v>unit of time</v>
      </c>
      <c r="M288" s="9" t="str">
        <v>-</v>
      </c>
      <c r="N288" s="9">
        <v>1</v>
      </c>
      <c r="O288" s="9" t="str">
        <v>Saad et al. 2021</v>
      </c>
      <c r="P288" s="9" t="str">
        <v>Process</v>
      </c>
      <c r="Q288" s="9" t="str">
        <v>not specified</v>
      </c>
      <c r="R288" s="9" t="str">
        <v>Joining</v>
      </c>
      <c r="S288" s="9" t="str">
        <v>not specified</v>
      </c>
    </row>
    <row r="289" spans="1:19" ht="51.5" customHeight="1" x14ac:dyDescent="0.35">
      <c r="A289" s="9" t="str">
        <v>31-016</v>
      </c>
      <c r="B289" s="9" t="str">
        <v>Operational processes</v>
      </c>
      <c r="C289" s="9" t="str">
        <v>Operational efficiency</v>
      </c>
      <c r="D289" s="9" t="str">
        <v>Operational processes - Operational efficiency</v>
      </c>
      <c r="E289" s="9">
        <v>0</v>
      </c>
      <c r="F289" s="9" t="str">
        <v>x</v>
      </c>
      <c r="G289" s="9" t="str">
        <v>Other</v>
      </c>
      <c r="H289" s="9" t="str">
        <v>Environmental - Other</v>
      </c>
      <c r="I289" s="12" t="str">
        <v>Facility accident-free days</v>
      </c>
      <c r="J289" s="9" t="str">
        <v>This indicator measures the number of facility accident-free days.</v>
      </c>
      <c r="K289" s="9" t="str">
        <v>Quantitative</v>
      </c>
      <c r="L289" s="9" t="str">
        <v>#</v>
      </c>
      <c r="M289" s="9" t="str">
        <v>-</v>
      </c>
      <c r="N289" s="9">
        <v>1</v>
      </c>
      <c r="O289" s="9" t="str">
        <v>Veleva et al. 2001</v>
      </c>
      <c r="P289" s="9" t="str">
        <v>Company; Factory</v>
      </c>
      <c r="Q289" s="9" t="str">
        <v>not specified</v>
      </c>
      <c r="R289" s="9" t="str">
        <v>not specified</v>
      </c>
      <c r="S289" s="9" t="str">
        <v>not specified</v>
      </c>
    </row>
    <row r="290" spans="1:19" ht="51.5" customHeight="1" x14ac:dyDescent="0.35">
      <c r="A290" s="9" t="str">
        <v>31-017</v>
      </c>
      <c r="B290" s="9" t="str">
        <v>Operational processes</v>
      </c>
      <c r="C290" s="9" t="str">
        <v>Operational efficiency</v>
      </c>
      <c r="D290" s="9" t="str">
        <v>Operational processes - Operational efficiency</v>
      </c>
      <c r="E290" s="9">
        <v>0</v>
      </c>
      <c r="F290" s="9" t="str">
        <v>x</v>
      </c>
      <c r="G290" s="9" t="str">
        <v>Pollution</v>
      </c>
      <c r="H290" s="9" t="str">
        <v>Environmental - Pollution</v>
      </c>
      <c r="I290" s="12" t="str">
        <v>Environmental accidents</v>
      </c>
      <c r="J290" s="9" t="str">
        <v>This indicator measures the number of environmental accidents and includes a description for each accident.</v>
      </c>
      <c r="K290" s="9" t="str">
        <v>Quantitative and Qualitative</v>
      </c>
      <c r="L290" s="9" t="str">
        <v># and descriptive</v>
      </c>
      <c r="M290" s="9" t="str">
        <v>-</v>
      </c>
      <c r="N290" s="9">
        <v>1</v>
      </c>
      <c r="O290" s="9" t="str">
        <v>Cagno et al. 2019</v>
      </c>
      <c r="P290" s="9" t="str">
        <v>Company</v>
      </c>
      <c r="Q290" s="9" t="str">
        <v>13 Manufacture of textiles; 24 Manufacture of basic metals; 28 Manufacture of machinery and equipment n.e.c.; 31 Manufacture of furniture</v>
      </c>
      <c r="R290" s="9" t="str">
        <v>not specified</v>
      </c>
      <c r="S290" s="9" t="str">
        <v>Small; Medium; Large</v>
      </c>
    </row>
    <row r="291" spans="1:19" ht="51.5" customHeight="1" x14ac:dyDescent="0.35">
      <c r="A291" s="9" t="str">
        <v>31-018</v>
      </c>
      <c r="B291" s="9" t="str">
        <v>Operational processes</v>
      </c>
      <c r="C291" s="9" t="str">
        <v>Operational efficiency</v>
      </c>
      <c r="D291" s="9" t="str">
        <v>Operational processes - Operational efficiency</v>
      </c>
      <c r="E291" s="9">
        <v>0</v>
      </c>
      <c r="F291" s="9" t="str">
        <v>x</v>
      </c>
      <c r="G291" s="9" t="str">
        <v>Pollution</v>
      </c>
      <c r="H291" s="9" t="str">
        <v>Environmental - Pollution</v>
      </c>
      <c r="I291" s="12" t="str">
        <v>Spills</v>
      </c>
      <c r="J291" s="9" t="str">
        <v>This indicator measures the total number and volume of (significant/ reportable) spills.</v>
      </c>
      <c r="K291" s="9" t="str">
        <v>Quantitative</v>
      </c>
      <c r="L291" s="9" t="str">
        <v># and L</v>
      </c>
      <c r="M291" s="9" t="str">
        <v>306-3 (Effluents and Waste 2016)</v>
      </c>
      <c r="N291" s="9">
        <v>3</v>
      </c>
      <c r="O291" s="9" t="str">
        <v>Gani et al. 2021; Moldavska &amp; Welo 2018; Veleva et al. 2001</v>
      </c>
      <c r="P291" s="9" t="str">
        <v>Company; Factory</v>
      </c>
      <c r="Q291" s="9" t="str">
        <v>22 Manufacture of rubber and plastic products; 28 Manufacture of machinery and equipment n.e.c.; 29 Manufacture of motor vehicles, trailers and semi-trailers; not specified</v>
      </c>
      <c r="R291" s="9" t="str">
        <v>not specified</v>
      </c>
      <c r="S291" s="9" t="str">
        <v>Small; Medium; not specified</v>
      </c>
    </row>
    <row r="292" spans="1:19" ht="51.5" customHeight="1" x14ac:dyDescent="0.35">
      <c r="A292" s="9" t="str">
        <v>31-019</v>
      </c>
      <c r="B292" s="9" t="str">
        <v>Operational processes</v>
      </c>
      <c r="C292" s="9" t="str">
        <v>Operational efficiency</v>
      </c>
      <c r="D292" s="9" t="str">
        <v>Operational processes - Operational efficiency</v>
      </c>
      <c r="E292" s="9">
        <v>0</v>
      </c>
      <c r="F292" s="9" t="str">
        <v>x</v>
      </c>
      <c r="G292" s="9" t="str">
        <v>Resource Use &amp; Circular Economy</v>
      </c>
      <c r="H292" s="9" t="str">
        <v>Environmental - Resource Use &amp; Circular Economy</v>
      </c>
      <c r="I292" s="12" t="str">
        <v>Scrap</v>
      </c>
      <c r="J292" s="9" t="str">
        <v>This indicator measures the total mass of scrapped material.</v>
      </c>
      <c r="K292" s="9" t="str">
        <v>Quantitative</v>
      </c>
      <c r="L292" s="9" t="str">
        <v>unit of mass</v>
      </c>
      <c r="M292" s="9" t="str">
        <v>-</v>
      </c>
      <c r="N292" s="9">
        <v>6</v>
      </c>
      <c r="O292" s="9" t="str">
        <v>Amrina &amp; Yusof 2011; Cagno et al. 2019; Cagno et al. 2023; Faulkner &amp; Badurdeen 2014; Garza-Reyes et al. 2018; Singh et al. 2007b</v>
      </c>
      <c r="P292" s="9" t="str">
        <v>Company; Process</v>
      </c>
      <c r="Q292" s="9" t="str">
        <v>13 Manufacture of textiles; 23 Manufacture of other non-metallic mineral products; 24 Manufacture of basic metals; 26 Manufacture of computer, electronic and optical products; 27 Manufacture of electrical equipment; 28 Manufacture of machinery and equipment n.e.c.; 29 Manufacture of motor vehicles, trailers and semi-trailers; 31 Manufacture of furniture; not specified</v>
      </c>
      <c r="R292" s="9" t="str">
        <v>Original forming; Transforming; Separating; Joining; Coating and finishing; Change of material properties; not specified</v>
      </c>
      <c r="S292" s="9" t="str">
        <v>Small; Medium; Large; not specified</v>
      </c>
    </row>
    <row r="293" spans="1:19" ht="51.5" customHeight="1" x14ac:dyDescent="0.35">
      <c r="A293" s="9" t="str">
        <v>31-020</v>
      </c>
      <c r="B293" s="9" t="str">
        <v>Operational processes</v>
      </c>
      <c r="C293" s="9" t="str">
        <v>Operational efficiency</v>
      </c>
      <c r="D293" s="9" t="str">
        <v>Operational processes - Operational efficiency</v>
      </c>
      <c r="E293" s="9">
        <v>0</v>
      </c>
      <c r="F293" s="9" t="str">
        <v>x</v>
      </c>
      <c r="G293" s="9" t="str">
        <v>Resource Use &amp; Circular Economy</v>
      </c>
      <c r="H293" s="9" t="str">
        <v>Environmental - Resource Use &amp; Circular Economy</v>
      </c>
      <c r="I293" s="12" t="str">
        <v>Scrap rate</v>
      </c>
      <c r="J293" s="9" t="str">
        <v>This indicator measures the amount of scrap and material removed to the total material used.</v>
      </c>
      <c r="K293" s="9" t="str">
        <v>Quantitative</v>
      </c>
      <c r="L293" s="9" t="str">
        <v>%</v>
      </c>
      <c r="M293" s="9" t="str">
        <v>-</v>
      </c>
      <c r="N293" s="9">
        <v>4</v>
      </c>
      <c r="O293" s="9" t="str">
        <v>Lucato et al. 2018; Swarnakar et al. 2021; Swarnakar et al. 2022; Winroth et al. 2016</v>
      </c>
      <c r="P293" s="9" t="str">
        <v>Factory; Process</v>
      </c>
      <c r="Q293" s="9" t="str">
        <v>28 Manufacture of machinery and equipment n.e.c.; 29 Manufacture of motor vehicles, trailers and semi-trailers; not specified</v>
      </c>
      <c r="R293" s="9" t="str">
        <v>Transforming; Separating; Coating and finishing; Change of material properties; not specified</v>
      </c>
      <c r="S293" s="9" t="str">
        <v>Small; Medium; not specified</v>
      </c>
    </row>
    <row r="294" spans="1:19" ht="51.5" customHeight="1" x14ac:dyDescent="0.35">
      <c r="A294" s="9" t="str">
        <v>31-021</v>
      </c>
      <c r="B294" s="9" t="str">
        <v>Operational processes</v>
      </c>
      <c r="C294" s="9" t="str">
        <v>Operational efficiency</v>
      </c>
      <c r="D294" s="9" t="str">
        <v>Operational processes - Operational efficiency</v>
      </c>
      <c r="E294" s="9">
        <v>0</v>
      </c>
      <c r="F294" s="9" t="str">
        <v>x</v>
      </c>
      <c r="G294" s="9" t="str">
        <v>Biodiversity &amp; Ecosystems</v>
      </c>
      <c r="H294" s="9" t="str">
        <v>Environmental - Biodiversity &amp; Ecosystems</v>
      </c>
      <c r="I294" s="12" t="str">
        <v>Work in process inventory</v>
      </c>
      <c r="J294" s="9" t="str">
        <v>This indicator measures the level of work in process inventory.</v>
      </c>
      <c r="K294" s="9" t="str">
        <v>Quantitative</v>
      </c>
      <c r="L294" s="9" t="str">
        <v>#</v>
      </c>
      <c r="M294" s="9" t="str">
        <v>-</v>
      </c>
      <c r="N294" s="9">
        <v>2</v>
      </c>
      <c r="O294" s="9" t="str">
        <v>Song &amp; Moon 2019; Swarnakar et al. 2022</v>
      </c>
      <c r="P294" s="9" t="str">
        <v>Production line; Process</v>
      </c>
      <c r="Q294" s="9" t="str">
        <v>30 Manufacture of other transport equipment; not specified</v>
      </c>
      <c r="R294" s="9" t="str">
        <v>Joining; not specified</v>
      </c>
      <c r="S294" s="9" t="str">
        <v>not specified</v>
      </c>
    </row>
    <row r="295" spans="1:19" ht="51.5" customHeight="1" x14ac:dyDescent="0.35">
      <c r="A295" s="9" t="str">
        <v>31-022</v>
      </c>
      <c r="B295" s="9" t="str">
        <v>Operational processes</v>
      </c>
      <c r="C295" s="9" t="str">
        <v>Operational efficiency</v>
      </c>
      <c r="D295" s="9" t="str">
        <v>Operational processes - Operational efficiency</v>
      </c>
      <c r="E295" s="9" t="str">
        <v>x</v>
      </c>
      <c r="F295" s="9">
        <v>0</v>
      </c>
      <c r="G295" s="9" t="str">
        <v>Cost</v>
      </c>
      <c r="H295" s="9" t="str">
        <v>Economic - Cost</v>
      </c>
      <c r="I295" s="12" t="str">
        <v>Inventory cost</v>
      </c>
      <c r="J295" s="9" t="str">
        <v>This indicator measures the holding costs that are associated with storing inventory.</v>
      </c>
      <c r="K295" s="9" t="str">
        <v>Quantitative</v>
      </c>
      <c r="L295" s="9" t="str">
        <v>€</v>
      </c>
      <c r="M295" s="9" t="str">
        <v>-</v>
      </c>
      <c r="N295" s="9">
        <v>10</v>
      </c>
      <c r="O295" s="9" t="str">
        <v>Akbar &amp; Irohara 2018; Amrina &amp; Vilsi 2015; Amrina &amp; Yusof 2011; Cagno et al. 2019; Cagno et al. 2023; Helleno et al. 2017; Kravchenko et al. 2019; Mengistu &amp; Panizzolo 2023a; Swarnakar et al. 2021; Swarnakar et al. 2022</v>
      </c>
      <c r="P295" s="9" t="str">
        <v>Company; Factory; Production line; Work cell; Process</v>
      </c>
      <c r="Q295" s="9" t="str">
        <v>13 Manufacture of textiles; 22 Manufacture of rubber and plastic products; 23 Manufacture of other non-metallic mineral products; 24 Manufacture of basic metals; 27 Manufacture of electrical equipment; 28 Manufacture of machinery and equipment n.e.c.; 29 Manufacture of motor vehicles, trailers and semi-trailers; 31 Manufacture of furniture; not specified</v>
      </c>
      <c r="R295" s="9" t="str">
        <v>Original forming; Transforming; Separating; Coating and finishing; Change of material properties; not specified</v>
      </c>
      <c r="S295" s="9" t="str">
        <v>Micro; Small; Medium; Large; not specified</v>
      </c>
    </row>
    <row r="296" spans="1:19" ht="51.5" customHeight="1" x14ac:dyDescent="0.35">
      <c r="A296" s="9" t="str">
        <v>31-023</v>
      </c>
      <c r="B296" s="9" t="str">
        <v>Operational processes</v>
      </c>
      <c r="C296" s="9" t="str">
        <v>Operational efficiency</v>
      </c>
      <c r="D296" s="9" t="str">
        <v>Operational processes - Operational efficiency</v>
      </c>
      <c r="E296" s="9" t="str">
        <v>x</v>
      </c>
      <c r="F296" s="9">
        <v>0</v>
      </c>
      <c r="G296" s="9" t="str">
        <v>Other</v>
      </c>
      <c r="H296" s="9" t="str">
        <v>Economic - Other</v>
      </c>
      <c r="I296" s="12" t="str">
        <v>Machine performance</v>
      </c>
      <c r="J296" s="9" t="str">
        <v>This indicator measures the machine performance as the cycle time times the ratio of production output to actual production time (cycle time * (production output / actual production time)).</v>
      </c>
      <c r="K296" s="9" t="str">
        <v>Quantitative</v>
      </c>
      <c r="L296" s="9" t="str">
        <v>#</v>
      </c>
      <c r="M296" s="9" t="str">
        <v>-</v>
      </c>
      <c r="N296" s="9">
        <v>2</v>
      </c>
      <c r="O296" s="9" t="str">
        <v>Swarnakar et al. 2021; Swarnakar et al. 2022</v>
      </c>
      <c r="P296" s="9" t="str">
        <v>Process</v>
      </c>
      <c r="Q296" s="9" t="str">
        <v>28 Manufacture of machinery and equipment n.e.c.; 29 Manufacture of motor vehicles, trailers and semi-trailers; not specified</v>
      </c>
      <c r="R296" s="9" t="str">
        <v>Transforming; Separating; Coating and finishing; Change of material properties; not specified</v>
      </c>
      <c r="S296" s="9" t="str">
        <v>not specified</v>
      </c>
    </row>
    <row r="297" spans="1:19" ht="51.5" customHeight="1" x14ac:dyDescent="0.35">
      <c r="A297" s="9" t="str">
        <v>31-024</v>
      </c>
      <c r="B297" s="9" t="str">
        <v>Operational processes</v>
      </c>
      <c r="C297" s="9" t="str">
        <v>Operational efficiency</v>
      </c>
      <c r="D297" s="9" t="str">
        <v>Operational processes - Operational efficiency</v>
      </c>
      <c r="E297" s="9" t="str">
        <v>x</v>
      </c>
      <c r="F297" s="9">
        <v>0</v>
      </c>
      <c r="G297" s="9" t="str">
        <v>Other</v>
      </c>
      <c r="H297" s="9" t="str">
        <v>Economic - Other</v>
      </c>
      <c r="I297" s="12" t="str">
        <v>Machine availability</v>
      </c>
      <c r="J297" s="9" t="str">
        <v>This indicator measures the ratio of the actual production time to the total available time.</v>
      </c>
      <c r="K297" s="9" t="str">
        <v>Quantitative</v>
      </c>
      <c r="L297" s="9" t="str">
        <v>%</v>
      </c>
      <c r="M297" s="9" t="str">
        <v>-</v>
      </c>
      <c r="N297" s="9">
        <v>2</v>
      </c>
      <c r="O297" s="9" t="str">
        <v>Swarnakar et al. 2021; Swarnakar et al. 2022</v>
      </c>
      <c r="P297" s="9" t="str">
        <v>Process</v>
      </c>
      <c r="Q297" s="9" t="str">
        <v>28 Manufacture of machinery and equipment n.e.c.; 29 Manufacture of motor vehicles, trailers and semi-trailers; not specified</v>
      </c>
      <c r="R297" s="9" t="str">
        <v>Transforming; Separating; Coating and finishing; Change of material properties; not specified</v>
      </c>
      <c r="S297" s="9" t="str">
        <v>not specified</v>
      </c>
    </row>
    <row r="298" spans="1:19" ht="51.5" customHeight="1" x14ac:dyDescent="0.35">
      <c r="A298" s="9" t="str">
        <v>31-025</v>
      </c>
      <c r="B298" s="9" t="str">
        <v>Operational processes</v>
      </c>
      <c r="C298" s="9" t="str">
        <v>Operational efficiency</v>
      </c>
      <c r="D298" s="9" t="str">
        <v>Operational processes - Operational efficiency</v>
      </c>
      <c r="E298" s="9">
        <v>0</v>
      </c>
      <c r="F298" s="9" t="str">
        <v>x</v>
      </c>
      <c r="G298" s="9" t="str">
        <v>Resource Use &amp; Circular Economy</v>
      </c>
      <c r="H298" s="9" t="str">
        <v>Environmental - Resource Use &amp; Circular Economy</v>
      </c>
      <c r="I298" s="12" t="str">
        <v>Oil leakage</v>
      </c>
      <c r="J298" s="9" t="str">
        <v>This indicator measures the number of leaking spots.</v>
      </c>
      <c r="K298" s="9" t="str">
        <v>Quantitative</v>
      </c>
      <c r="L298" s="9" t="str">
        <v>#</v>
      </c>
      <c r="M298" s="9" t="str">
        <v>-</v>
      </c>
      <c r="N298" s="9">
        <v>1</v>
      </c>
      <c r="O298" s="9" t="str">
        <v>Garza-Reyes et al. 2018</v>
      </c>
      <c r="P298" s="9" t="str">
        <v>Process</v>
      </c>
      <c r="Q298" s="9" t="str">
        <v>not specified</v>
      </c>
      <c r="R298" s="9" t="str">
        <v>Transforming; Change of material properties</v>
      </c>
      <c r="S298" s="9" t="str">
        <v>not specified</v>
      </c>
    </row>
    <row r="299" spans="1:19" ht="51.5" customHeight="1" x14ac:dyDescent="0.35">
      <c r="A299" s="9" t="str">
        <v>31-026</v>
      </c>
      <c r="B299" s="9" t="str">
        <v>Operational processes</v>
      </c>
      <c r="C299" s="9" t="str">
        <v>Operational efficiency</v>
      </c>
      <c r="D299" s="9" t="str">
        <v>Operational processes - Operational efficiency</v>
      </c>
      <c r="E299" s="9" t="str">
        <v>x</v>
      </c>
      <c r="F299" s="9">
        <v>0</v>
      </c>
      <c r="G299" s="9" t="str">
        <v>Cost</v>
      </c>
      <c r="H299" s="9" t="str">
        <v>Economic - Cost</v>
      </c>
      <c r="I299" s="12" t="str">
        <v>Cost of defects</v>
      </c>
      <c r="J299" s="9" t="str">
        <v>This indicator measures the cost associated with defects in manufacture.</v>
      </c>
      <c r="K299" s="9" t="str">
        <v>Quantitative</v>
      </c>
      <c r="L299" s="9" t="str">
        <v>€</v>
      </c>
      <c r="M299" s="9" t="str">
        <v>-</v>
      </c>
      <c r="N299" s="9">
        <v>1</v>
      </c>
      <c r="O299" s="9" t="str">
        <v>Kravchenko et al. 2019</v>
      </c>
      <c r="P299" s="9" t="str">
        <v>Company</v>
      </c>
      <c r="Q299" s="9" t="str">
        <v>13 Manufacture of textiles; 28 Manufacture of machinery and equipment n.e.c.; 31 Manufacture of furniture</v>
      </c>
      <c r="R299" s="9" t="str">
        <v>not specified</v>
      </c>
      <c r="S299" s="9" t="str">
        <v>Micro; Large</v>
      </c>
    </row>
    <row r="300" spans="1:19" ht="51.5" customHeight="1" x14ac:dyDescent="0.35">
      <c r="A300" s="9" t="str">
        <v>31-027</v>
      </c>
      <c r="B300" s="9" t="str">
        <v>Operational processes</v>
      </c>
      <c r="C300" s="9" t="str">
        <v>Operational efficiency</v>
      </c>
      <c r="D300" s="9" t="str">
        <v>Operational processes - Operational efficiency</v>
      </c>
      <c r="E300" s="9" t="str">
        <v>x</v>
      </c>
      <c r="F300" s="9">
        <v>0</v>
      </c>
      <c r="G300" s="9" t="str">
        <v>Other</v>
      </c>
      <c r="H300" s="9" t="str">
        <v>Economic - Other</v>
      </c>
      <c r="I300" s="12" t="str">
        <v>Value-added time</v>
      </c>
      <c r="J300" s="9" t="str">
        <v>This indicator measures the value-added time.</v>
      </c>
      <c r="K300" s="9" t="str">
        <v>Quantitative</v>
      </c>
      <c r="L300" s="9" t="str">
        <v>unit of time</v>
      </c>
      <c r="M300" s="9" t="str">
        <v>-</v>
      </c>
      <c r="N300" s="9">
        <v>3</v>
      </c>
      <c r="O300" s="9" t="str">
        <v>Brown et al. 2014; Swarnakar et al. 2022; Vinodh et al. 2016</v>
      </c>
      <c r="P300" s="9" t="str">
        <v>Production line; Work cell; Process</v>
      </c>
      <c r="Q300" s="9" t="str">
        <v>25 Manufacture of fabricated metal products, except machinery and equipment; 26 Manufacture of computer, electronic and optical products; 29 Manufacture of motor vehicles, trailers and semi-trailers; not specified</v>
      </c>
      <c r="R300" s="9" t="str">
        <v>Separating; Coating and finishing; not specified</v>
      </c>
      <c r="S300" s="9" t="str">
        <v>not specified</v>
      </c>
    </row>
    <row r="301" spans="1:19" ht="51.5" customHeight="1" x14ac:dyDescent="0.35">
      <c r="A301" s="9" t="str">
        <v>31-028</v>
      </c>
      <c r="B301" s="9" t="str">
        <v>Operational processes</v>
      </c>
      <c r="C301" s="9" t="str">
        <v>Operational efficiency</v>
      </c>
      <c r="D301" s="9" t="str">
        <v>Operational processes - Operational efficiency</v>
      </c>
      <c r="E301" s="9" t="str">
        <v>x</v>
      </c>
      <c r="F301" s="9">
        <v>0</v>
      </c>
      <c r="G301" s="9" t="str">
        <v>Other</v>
      </c>
      <c r="H301" s="9" t="str">
        <v>Economic - Other</v>
      </c>
      <c r="I301" s="12" t="str">
        <v>Non-value-added time</v>
      </c>
      <c r="J301" s="9" t="str">
        <v>This indicator measures the non-value-added time.</v>
      </c>
      <c r="K301" s="9" t="str">
        <v>Quantitative</v>
      </c>
      <c r="L301" s="9" t="str">
        <v>unit of time</v>
      </c>
      <c r="M301" s="9" t="str">
        <v>-</v>
      </c>
      <c r="N301" s="9">
        <v>1</v>
      </c>
      <c r="O301" s="9" t="str">
        <v>Vinodh et al. 2016</v>
      </c>
      <c r="P301" s="9" t="str">
        <v>Process</v>
      </c>
      <c r="Q301" s="9" t="str">
        <v>29 Manufacture of motor vehicles, trailers and semi-trailers</v>
      </c>
      <c r="R301" s="9" t="str">
        <v>Separating; Coating and finishing</v>
      </c>
      <c r="S301" s="9" t="str">
        <v>not specified</v>
      </c>
    </row>
    <row r="302" spans="1:19" ht="51.5" customHeight="1" x14ac:dyDescent="0.35">
      <c r="A302" s="9" t="str">
        <v>31-029</v>
      </c>
      <c r="B302" s="9" t="str">
        <v>Operational processes</v>
      </c>
      <c r="C302" s="9" t="str">
        <v>Operational efficiency</v>
      </c>
      <c r="D302" s="9" t="str">
        <v>Operational processes - Operational efficiency</v>
      </c>
      <c r="E302" s="9" t="str">
        <v>x</v>
      </c>
      <c r="F302" s="9">
        <v>0</v>
      </c>
      <c r="G302" s="9" t="str">
        <v>Other</v>
      </c>
      <c r="H302" s="9" t="str">
        <v>Economic - Other</v>
      </c>
      <c r="I302" s="12" t="str">
        <v>Value-added time ratio</v>
      </c>
      <c r="J302" s="9" t="str">
        <v>This indicator measures the ratio of value-added time to cycle time.</v>
      </c>
      <c r="K302" s="9" t="str">
        <v>Quantitative</v>
      </c>
      <c r="L302" s="9" t="str">
        <v>%</v>
      </c>
      <c r="M302" s="9" t="str">
        <v>-</v>
      </c>
      <c r="N302" s="9">
        <v>3</v>
      </c>
      <c r="O302" s="9" t="str">
        <v>Brown et al. 2014; Swarnakar et al. 2021; Swarnakar et al. 2022</v>
      </c>
      <c r="P302" s="9" t="str">
        <v>Production line; Work cell; Process</v>
      </c>
      <c r="Q302" s="9" t="str">
        <v>25 Manufacture of fabricated metal products, except machinery and equipment; 26 Manufacture of computer, electronic and optical products; 28 Manufacture of machinery and equipment n.e.c.; 29 Manufacture of motor vehicles, trailers and semi-trailers; not specified</v>
      </c>
      <c r="R302" s="9" t="str">
        <v>Transforming; Separating; Coating and finishing; Change of material properties; not specified</v>
      </c>
      <c r="S302" s="9" t="str">
        <v>not specified</v>
      </c>
    </row>
    <row r="303" spans="1:19" ht="51.5" customHeight="1" x14ac:dyDescent="0.35">
      <c r="A303" s="9" t="str">
        <v>31-030</v>
      </c>
      <c r="B303" s="9" t="str">
        <v>Operational processes</v>
      </c>
      <c r="C303" s="9" t="str">
        <v>Operational efficiency</v>
      </c>
      <c r="D303" s="9" t="str">
        <v>Operational processes - Operational efficiency</v>
      </c>
      <c r="E303" s="9" t="str">
        <v>x</v>
      </c>
      <c r="F303" s="9">
        <v>0</v>
      </c>
      <c r="G303" s="9" t="str">
        <v>Cost</v>
      </c>
      <c r="H303" s="9" t="str">
        <v>Economic - Cost</v>
      </c>
      <c r="I303" s="12" t="str">
        <v>Value-added cost</v>
      </c>
      <c r="J303" s="9" t="str">
        <v>This indicator measures the value-added cost, which can be calculated as the sum of direct costs.</v>
      </c>
      <c r="K303" s="9" t="str">
        <v>Quantitative</v>
      </c>
      <c r="L303" s="9" t="str">
        <v>€</v>
      </c>
      <c r="M303" s="9" t="str">
        <v>-</v>
      </c>
      <c r="N303" s="9">
        <v>2</v>
      </c>
      <c r="O303" s="9" t="str">
        <v>Swarnakar et al. 2022; Vinodh et al. 2016</v>
      </c>
      <c r="P303" s="9" t="str">
        <v>Process</v>
      </c>
      <c r="Q303" s="9" t="str">
        <v>29 Manufacture of motor vehicles, trailers and semi-trailers; not specified</v>
      </c>
      <c r="R303" s="9" t="str">
        <v>Separating; Coating and finishing; not specified</v>
      </c>
      <c r="S303" s="9" t="str">
        <v>not specified</v>
      </c>
    </row>
    <row r="304" spans="1:19" ht="51.5" customHeight="1" x14ac:dyDescent="0.35">
      <c r="A304" s="9" t="str">
        <v>31-031</v>
      </c>
      <c r="B304" s="9" t="str">
        <v>Operational processes</v>
      </c>
      <c r="C304" s="9" t="str">
        <v>Operational efficiency</v>
      </c>
      <c r="D304" s="9" t="str">
        <v>Operational processes - Operational efficiency</v>
      </c>
      <c r="E304" s="9" t="str">
        <v>x</v>
      </c>
      <c r="F304" s="9">
        <v>0</v>
      </c>
      <c r="G304" s="9" t="str">
        <v>Cost</v>
      </c>
      <c r="H304" s="9" t="str">
        <v>Economic - Cost</v>
      </c>
      <c r="I304" s="12" t="str">
        <v>Non-value-added cost</v>
      </c>
      <c r="J304" s="9" t="str">
        <v>This indicator measures the non-value-added cost, which can be calculated as the product of work in process inventory and holding cost.</v>
      </c>
      <c r="K304" s="9" t="str">
        <v>Quantitative</v>
      </c>
      <c r="L304" s="9" t="str">
        <v>€</v>
      </c>
      <c r="M304" s="9" t="str">
        <v>-</v>
      </c>
      <c r="N304" s="9">
        <v>1</v>
      </c>
      <c r="O304" s="9" t="str">
        <v>Vinodh et al. 2016</v>
      </c>
      <c r="P304" s="9" t="str">
        <v>Process</v>
      </c>
      <c r="Q304" s="9" t="str">
        <v>29 Manufacture of motor vehicles, trailers and semi-trailers</v>
      </c>
      <c r="R304" s="9" t="str">
        <v>Separating; Coating and finishing</v>
      </c>
      <c r="S304" s="9" t="str">
        <v>not specified</v>
      </c>
    </row>
    <row r="305" spans="1:19" ht="51.5" customHeight="1" x14ac:dyDescent="0.35">
      <c r="A305" s="9" t="str">
        <v>31-032</v>
      </c>
      <c r="B305" s="9" t="str">
        <v>Operational processes</v>
      </c>
      <c r="C305" s="9" t="str">
        <v>Operational efficiency</v>
      </c>
      <c r="D305" s="9" t="str">
        <v>Operational processes - Operational efficiency</v>
      </c>
      <c r="E305" s="9" t="str">
        <v>x</v>
      </c>
      <c r="F305" s="9">
        <v>0</v>
      </c>
      <c r="G305" s="9" t="str">
        <v>Cost</v>
      </c>
      <c r="H305" s="9" t="str">
        <v>Economic - Cost</v>
      </c>
      <c r="I305" s="12" t="str">
        <v>Efficient cost</v>
      </c>
      <c r="J305" s="9" t="str">
        <v>This indicator measures the efficient cost, which can be calculated as the ratio of operation cost to overall equipment efficiency.</v>
      </c>
      <c r="K305" s="9" t="str">
        <v>Quantitative</v>
      </c>
      <c r="L305" s="9" t="str">
        <v>€</v>
      </c>
      <c r="M305" s="9" t="str">
        <v>-</v>
      </c>
      <c r="N305" s="9">
        <v>4</v>
      </c>
      <c r="O305" s="9" t="str">
        <v>Helleno et al. 2017; Swarnakar et al. 2020; Swarnakar et al. 2021; Swarnakar et al. 2022</v>
      </c>
      <c r="P305" s="9" t="str">
        <v>Production line; Process</v>
      </c>
      <c r="Q305" s="9" t="str">
        <v>22 Manufacture of rubber and plastic products; 28 Manufacture of machinery and equipment n.e.c.; 29 Manufacture of motor vehicles, trailers and semi-trailers; not specified</v>
      </c>
      <c r="R305" s="9" t="str">
        <v>Original forming; Transforming; Separating; Coating and finishing; Change of material properties; not specified</v>
      </c>
      <c r="S305" s="9" t="str">
        <v>not specified</v>
      </c>
    </row>
    <row r="306" spans="1:19" ht="51.5" customHeight="1" x14ac:dyDescent="0.35">
      <c r="A306" s="9" t="str">
        <v>31-033</v>
      </c>
      <c r="B306" s="9" t="str">
        <v>Operational processes</v>
      </c>
      <c r="C306" s="9" t="str">
        <v>Operational efficiency</v>
      </c>
      <c r="D306" s="9" t="str">
        <v>Operational processes - Operational efficiency</v>
      </c>
      <c r="E306" s="9" t="str">
        <v>x</v>
      </c>
      <c r="F306" s="9">
        <v>0</v>
      </c>
      <c r="G306" s="9" t="str">
        <v>Cost</v>
      </c>
      <c r="H306" s="9" t="str">
        <v>Economic - Cost</v>
      </c>
      <c r="I306" s="12" t="str">
        <v>Cost cycle efficiency</v>
      </c>
      <c r="J306" s="9" t="str">
        <v>This indicator measures the cost cycle efficiency, which can be calculated as the ratio of efficient cost to stock cost.</v>
      </c>
      <c r="K306" s="9" t="str">
        <v>Quantitative</v>
      </c>
      <c r="L306" s="9" t="str">
        <v>%</v>
      </c>
      <c r="M306" s="9" t="str">
        <v>-</v>
      </c>
      <c r="N306" s="9">
        <v>2</v>
      </c>
      <c r="O306" s="9" t="str">
        <v>Helleno et al. 2017; Swarnakar et al. 2021</v>
      </c>
      <c r="P306" s="9" t="str">
        <v>Production line; Process</v>
      </c>
      <c r="Q306" s="9" t="str">
        <v>22 Manufacture of rubber and plastic products; 28 Manufacture of machinery and equipment n.e.c.; 29 Manufacture of motor vehicles, trailers and semi-trailers</v>
      </c>
      <c r="R306" s="9" t="str">
        <v>Original forming; Transforming; Separating; Coating and finishing; Change of material properties</v>
      </c>
      <c r="S306" s="9" t="str">
        <v>not specified</v>
      </c>
    </row>
    <row r="307" spans="1:19" ht="51.5" customHeight="1" x14ac:dyDescent="0.35">
      <c r="A307" s="9" t="str">
        <v>31-034</v>
      </c>
      <c r="B307" s="9" t="str">
        <v>Operational processes</v>
      </c>
      <c r="C307" s="9" t="str">
        <v>Operational efficiency</v>
      </c>
      <c r="D307" s="9" t="str">
        <v>Operational processes - Operational efficiency</v>
      </c>
      <c r="E307" s="9" t="str">
        <v>x</v>
      </c>
      <c r="F307" s="9">
        <v>0</v>
      </c>
      <c r="G307" s="9" t="str">
        <v>Other</v>
      </c>
      <c r="H307" s="9" t="str">
        <v>Economic - Other</v>
      </c>
      <c r="I307" s="12" t="str">
        <v>Process cycle efficiency</v>
      </c>
      <c r="J307" s="9" t="str">
        <v>This indicator measures the process cycle efficiency, which can be calculated as the ratio of process time to lead time.</v>
      </c>
      <c r="K307" s="9" t="str">
        <v>Quantitative</v>
      </c>
      <c r="L307" s="9" t="str">
        <v>%</v>
      </c>
      <c r="M307" s="9" t="str">
        <v>-</v>
      </c>
      <c r="N307" s="9">
        <v>1</v>
      </c>
      <c r="O307" s="9" t="str">
        <v>Swarnakar et al. 2021</v>
      </c>
      <c r="P307" s="9" t="str">
        <v>Process</v>
      </c>
      <c r="Q307" s="9" t="str">
        <v>28 Manufacture of machinery and equipment n.e.c.; 29 Manufacture of motor vehicles, trailers and semi-trailers</v>
      </c>
      <c r="R307" s="9" t="str">
        <v>Transforming; Separating; Coating and finishing; Change of material properties</v>
      </c>
      <c r="S307" s="9" t="str">
        <v>not specified</v>
      </c>
    </row>
    <row r="308" spans="1:19" ht="51.5" customHeight="1" x14ac:dyDescent="0.35">
      <c r="A308" s="9" t="str">
        <v>31-035</v>
      </c>
      <c r="B308" s="9" t="str">
        <v>Operational processes</v>
      </c>
      <c r="C308" s="9" t="str">
        <v>Operational efficiency</v>
      </c>
      <c r="D308" s="9" t="str">
        <v>Operational processes - Operational efficiency</v>
      </c>
      <c r="E308" s="9" t="str">
        <v>x</v>
      </c>
      <c r="F308" s="9">
        <v>0</v>
      </c>
      <c r="G308" s="9" t="str">
        <v>Cost</v>
      </c>
      <c r="H308" s="9" t="str">
        <v>Economic - Cost</v>
      </c>
      <c r="I308" s="12" t="str">
        <v>Level of economic sustainability</v>
      </c>
      <c r="J308" s="9" t="str">
        <v>This indicator measures the level of economic sustainability, which can be calculated as the ratio of takt cost to the sum of efficient cost.</v>
      </c>
      <c r="K308" s="9" t="str">
        <v>Quantitative</v>
      </c>
      <c r="L308" s="9" t="str">
        <v>%</v>
      </c>
      <c r="M308" s="9" t="str">
        <v>-</v>
      </c>
      <c r="N308" s="9">
        <v>1</v>
      </c>
      <c r="O308" s="9" t="str">
        <v>Helleno et al. 2017</v>
      </c>
      <c r="P308" s="9" t="str">
        <v>Production line; Process</v>
      </c>
      <c r="Q308" s="9" t="str">
        <v>22 Manufacture of rubber and plastic products</v>
      </c>
      <c r="R308" s="9" t="str">
        <v>Original forming; Transforming; Separating; Coating and finishing</v>
      </c>
      <c r="S308" s="9" t="str">
        <v>not specified</v>
      </c>
    </row>
    <row r="309" spans="1:19" ht="51.5" customHeight="1" x14ac:dyDescent="0.35">
      <c r="A309" s="9" t="str">
        <v>31-036</v>
      </c>
      <c r="B309" s="9" t="str">
        <v>Operational processes</v>
      </c>
      <c r="C309" s="9" t="str">
        <v>Operational efficiency</v>
      </c>
      <c r="D309" s="9" t="str">
        <v>Operational processes - Operational efficiency</v>
      </c>
      <c r="E309" s="9" t="str">
        <v>x</v>
      </c>
      <c r="F309" s="9">
        <v>0</v>
      </c>
      <c r="G309" s="9" t="str">
        <v>Other</v>
      </c>
      <c r="H309" s="9" t="str">
        <v>Economic - Other</v>
      </c>
      <c r="I309" s="12" t="str">
        <v>Productivity (Production pace)</v>
      </c>
      <c r="J309" s="9" t="str">
        <v>This indicator measures the throughput, i.e., the number of units produced per time unit, e.g,. hour.</v>
      </c>
      <c r="K309" s="9" t="str">
        <v>Quantitative</v>
      </c>
      <c r="L309" s="9" t="str">
        <v>#/unit of time</v>
      </c>
      <c r="M309" s="9" t="str">
        <v>-</v>
      </c>
      <c r="N309" s="9">
        <v>9</v>
      </c>
      <c r="O309" s="9" t="str">
        <v>Avram et al. 2011; Bhanot et al. 2016a; Bhanot et al. 2016b; Cagno et al. 2019; Cagno et al. 2023; Huang &amp; Badurdeen 2018; Linke et al. 2013; Song &amp; Moon 2019; Winroth et al. 2016</v>
      </c>
      <c r="P309" s="9" t="str">
        <v>Company; Factory; Production line; Work cell; Process</v>
      </c>
      <c r="Q309" s="9" t="str">
        <v>13 Manufacture of textiles; 23 Manufacture of other non-metallic mineral products; 24 Manufacture of basic metals; 25 Manufacture of fabricated metal products, except machinery and equipment; 26 Manufacture of computer, electronic and optical products; 27 Manufacture of electrical equipment; 28 Manufacture of machinery and equipment n.e.c.; 29 Manufacture of motor vehicles, trailers and semi-trailers; 30 Manufacture of other transport equipment; 31 Manufacture of furniture; not specified</v>
      </c>
      <c r="R309" s="9" t="str">
        <v>Original forming; Separating; Joining; Coating and finishing; Change of material properties; not specified</v>
      </c>
      <c r="S309" s="9" t="str">
        <v>Small; Medium; Large; not specified</v>
      </c>
    </row>
    <row r="310" spans="1:19" ht="51.5" customHeight="1" x14ac:dyDescent="0.35">
      <c r="A310" s="9" t="str">
        <v>31-037</v>
      </c>
      <c r="B310" s="9" t="str">
        <v>Operational processes</v>
      </c>
      <c r="C310" s="9" t="str">
        <v>Operational efficiency</v>
      </c>
      <c r="D310" s="9" t="str">
        <v>Operational processes - Operational efficiency</v>
      </c>
      <c r="E310" s="9" t="str">
        <v>x</v>
      </c>
      <c r="F310" s="9">
        <v>0</v>
      </c>
      <c r="G310" s="9" t="str">
        <v>Other</v>
      </c>
      <c r="H310" s="9" t="str">
        <v>Economic - Other</v>
      </c>
      <c r="I310" s="12" t="str">
        <v>Maintenance time</v>
      </c>
      <c r="J310" s="9" t="str">
        <v>This indicator measures the total maintenance time.</v>
      </c>
      <c r="K310" s="9" t="str">
        <v>Quantitative</v>
      </c>
      <c r="L310" s="9" t="str">
        <v>unit of time</v>
      </c>
      <c r="M310" s="9" t="str">
        <v>-</v>
      </c>
      <c r="N310" s="9">
        <v>1</v>
      </c>
      <c r="O310" s="9" t="str">
        <v>Winroth et al. 2016</v>
      </c>
      <c r="P310" s="9" t="str">
        <v>Factory</v>
      </c>
      <c r="Q310" s="9" t="str">
        <v>not specified</v>
      </c>
      <c r="R310" s="9" t="str">
        <v>not specified</v>
      </c>
      <c r="S310" s="9" t="str">
        <v>Small; Medium</v>
      </c>
    </row>
    <row r="311" spans="1:19" ht="51.5" customHeight="1" x14ac:dyDescent="0.35">
      <c r="A311" s="9" t="str">
        <v>31-038</v>
      </c>
      <c r="B311" s="9" t="str">
        <v>Operational processes</v>
      </c>
      <c r="C311" s="9" t="str">
        <v>Operational efficiency</v>
      </c>
      <c r="D311" s="9" t="str">
        <v>Operational processes - Operational efficiency</v>
      </c>
      <c r="E311" s="9" t="str">
        <v>x</v>
      </c>
      <c r="F311" s="9">
        <v>0</v>
      </c>
      <c r="G311" s="9" t="str">
        <v>Other</v>
      </c>
      <c r="H311" s="9" t="str">
        <v>Economic - Other</v>
      </c>
      <c r="I311" s="12" t="str">
        <v>Total productive maintenance ratio</v>
      </c>
      <c r="J311" s="9" t="str">
        <v>This indicator measures the ratio of time spent on total productive maintenance to time spent on breakdown maintenance.</v>
      </c>
      <c r="K311" s="9" t="str">
        <v>Quantitative</v>
      </c>
      <c r="L311" s="9" t="str">
        <v>%</v>
      </c>
      <c r="M311" s="9" t="str">
        <v>-</v>
      </c>
      <c r="N311" s="9">
        <v>2</v>
      </c>
      <c r="O311" s="9" t="str">
        <v>Swarnakar et al. 2021; Swarnakar et al. 2022</v>
      </c>
      <c r="P311" s="9" t="str">
        <v>Process</v>
      </c>
      <c r="Q311" s="9" t="str">
        <v>28 Manufacture of machinery and equipment n.e.c.; 29 Manufacture of motor vehicles, trailers and semi-trailers; not specified</v>
      </c>
      <c r="R311" s="9" t="str">
        <v>Transforming; Separating; Coating and finishing; Change of material properties; not specified</v>
      </c>
      <c r="S311" s="9" t="str">
        <v>not specified</v>
      </c>
    </row>
    <row r="312" spans="1:19" ht="51.5" customHeight="1" x14ac:dyDescent="0.35">
      <c r="A312" s="9" t="str">
        <v>31-039</v>
      </c>
      <c r="B312" s="9" t="str">
        <v>Operational processes</v>
      </c>
      <c r="C312" s="9" t="str">
        <v>Operational efficiency</v>
      </c>
      <c r="D312" s="9" t="str">
        <v>Operational processes - Operational efficiency</v>
      </c>
      <c r="E312" s="9" t="str">
        <v>x</v>
      </c>
      <c r="F312" s="9">
        <v>0</v>
      </c>
      <c r="G312" s="9" t="str">
        <v>Cost</v>
      </c>
      <c r="H312" s="9" t="str">
        <v>Economic - Cost</v>
      </c>
      <c r="I312" s="12" t="str">
        <v>Maintenance cost</v>
      </c>
      <c r="J312" s="9" t="str">
        <v>This indicator measures the total costs associated with maintenance.</v>
      </c>
      <c r="K312" s="9" t="str">
        <v>Quantitative</v>
      </c>
      <c r="L312" s="9" t="str">
        <v>€</v>
      </c>
      <c r="M312" s="9" t="str">
        <v>-</v>
      </c>
      <c r="N312" s="9">
        <v>6</v>
      </c>
      <c r="O312" s="9" t="str">
        <v>Cagno et al. 2019; Cagno et al. 2023; Faulkner &amp; Badurdeen 2014; Gao et al. 2016; Huang &amp; Badurdeen 2018; Mengistu &amp; Panizzolo 2023a</v>
      </c>
      <c r="P312" s="9" t="str">
        <v>Company; Factory; Production line; Process</v>
      </c>
      <c r="Q312" s="9" t="str">
        <v>13 Manufacture of textiles; 23 Manufacture of other non-metallic mineral products; 24 Manufacture of basic metals; 26 Manufacture of computer, electronic and optical products; 27 Manufacture of electrical equipment; 28 Manufacture of machinery and equipment n.e.c.; 29 Manufacture of motor vehicles, trailers and semi-trailers; 31 Manufacture of furniture; not specified</v>
      </c>
      <c r="R312" s="9" t="str">
        <v>Original forming; Separating; Joining; Coating and finishing; Change of material properties; not specified</v>
      </c>
      <c r="S312" s="9" t="str">
        <v>Small; Medium; Large; not specified</v>
      </c>
    </row>
    <row r="313" spans="1:19" ht="51.5" customHeight="1" x14ac:dyDescent="0.35">
      <c r="A313" s="9" t="str">
        <v>31-040</v>
      </c>
      <c r="B313" s="9" t="str">
        <v>Operational processes</v>
      </c>
      <c r="C313" s="9" t="str">
        <v>Operational efficiency</v>
      </c>
      <c r="D313" s="9" t="str">
        <v>Operational processes - Operational efficiency</v>
      </c>
      <c r="E313" s="9" t="str">
        <v>x</v>
      </c>
      <c r="F313" s="9">
        <v>0</v>
      </c>
      <c r="G313" s="9" t="str">
        <v>Other</v>
      </c>
      <c r="H313" s="9" t="str">
        <v>Economic - Other</v>
      </c>
      <c r="I313" s="12" t="str">
        <v>Material removal rate</v>
      </c>
      <c r="J313" s="9" t="str">
        <v xml:space="preserve">This indicator measures the volume of material removed per time unit. </v>
      </c>
      <c r="K313" s="9" t="str">
        <v>Quantitative</v>
      </c>
      <c r="L313" s="9" t="str">
        <v>cm³/sec</v>
      </c>
      <c r="M313" s="9" t="str">
        <v>-</v>
      </c>
      <c r="N313" s="9">
        <v>2</v>
      </c>
      <c r="O313" s="9" t="str">
        <v>Bhanot et al. 2016a; Bhanot et al. 2016b</v>
      </c>
      <c r="P313" s="9" t="str">
        <v>Process</v>
      </c>
      <c r="Q313" s="9" t="str">
        <v>29 Manufacture of motor vehicles, trailers and semi-trailers; not specified</v>
      </c>
      <c r="R313" s="9" t="str">
        <v>Separating</v>
      </c>
      <c r="S313" s="9" t="str">
        <v>not specified</v>
      </c>
    </row>
    <row r="314" spans="1:19" ht="51.5" customHeight="1" x14ac:dyDescent="0.35">
      <c r="A314" s="9" t="str">
        <v>31-041</v>
      </c>
      <c r="B314" s="9" t="str">
        <v>Operational processes</v>
      </c>
      <c r="C314" s="9" t="str">
        <v>Operational efficiency</v>
      </c>
      <c r="D314" s="9" t="str">
        <v>Operational processes - Operational efficiency</v>
      </c>
      <c r="E314" s="9" t="str">
        <v>x</v>
      </c>
      <c r="F314" s="9">
        <v>0</v>
      </c>
      <c r="G314" s="9" t="str">
        <v>Other</v>
      </c>
      <c r="H314" s="9" t="str">
        <v>Economic - Other</v>
      </c>
      <c r="I314" s="12" t="str">
        <v>Tool life</v>
      </c>
      <c r="J314" s="9" t="str">
        <v>This indicator measures the tool life, i.e., the time until a tool needs to be replaced.</v>
      </c>
      <c r="K314" s="9" t="str">
        <v>Quantitative</v>
      </c>
      <c r="L314" s="9" t="str">
        <v>min</v>
      </c>
      <c r="M314" s="9" t="str">
        <v>-</v>
      </c>
      <c r="N314" s="9">
        <v>3</v>
      </c>
      <c r="O314" s="9" t="str">
        <v>Avram et al. 2011; Bhanot et al. 2016a; Bhanot et al. 2016b</v>
      </c>
      <c r="P314" s="9" t="str">
        <v>Work cell; Process</v>
      </c>
      <c r="Q314" s="9" t="str">
        <v>29 Manufacture of motor vehicles, trailers and semi-trailers; not specified</v>
      </c>
      <c r="R314" s="9" t="str">
        <v>Separating</v>
      </c>
      <c r="S314" s="9" t="str">
        <v>not specified</v>
      </c>
    </row>
    <row r="315" spans="1:19" ht="51.5" customHeight="1" x14ac:dyDescent="0.35">
      <c r="A315" s="9" t="str">
        <v>31-042</v>
      </c>
      <c r="B315" s="9" t="str">
        <v>Operational processes</v>
      </c>
      <c r="C315" s="9" t="str">
        <v>Operational efficiency</v>
      </c>
      <c r="D315" s="9" t="str">
        <v>Operational processes - Operational efficiency</v>
      </c>
      <c r="E315" s="9" t="str">
        <v>x</v>
      </c>
      <c r="F315" s="9">
        <v>0</v>
      </c>
      <c r="G315" s="9" t="str">
        <v>Other</v>
      </c>
      <c r="H315" s="9" t="str">
        <v>Economic - Other</v>
      </c>
      <c r="I315" s="12" t="str">
        <v>Surface roughness</v>
      </c>
      <c r="J315" s="9" t="str">
        <v>This indicator measures the surface roughness, i.e., the surface integrity of the machined surface.</v>
      </c>
      <c r="K315" s="9" t="str">
        <v>Quantitative</v>
      </c>
      <c r="L315" s="9" t="str">
        <v>Ra</v>
      </c>
      <c r="M315" s="9" t="str">
        <v>-</v>
      </c>
      <c r="N315" s="9">
        <v>2</v>
      </c>
      <c r="O315" s="9" t="str">
        <v>Bhanot et al. 2016a; Bhanot et al. 2016b</v>
      </c>
      <c r="P315" s="9" t="str">
        <v>Process</v>
      </c>
      <c r="Q315" s="9" t="str">
        <v>29 Manufacture of motor vehicles, trailers and semi-trailers; not specified</v>
      </c>
      <c r="R315" s="9" t="str">
        <v>Separating</v>
      </c>
      <c r="S315" s="9" t="str">
        <v>not specified</v>
      </c>
    </row>
    <row r="316" spans="1:19" ht="51.5" customHeight="1" x14ac:dyDescent="0.35">
      <c r="A316" s="9" t="str">
        <v>31-043</v>
      </c>
      <c r="B316" s="9" t="str">
        <v>Operational processes</v>
      </c>
      <c r="C316" s="9" t="str">
        <v>Operational efficiency</v>
      </c>
      <c r="D316" s="9" t="str">
        <v>Operational processes - Operational efficiency</v>
      </c>
      <c r="E316" s="9">
        <v>0</v>
      </c>
      <c r="F316" s="9" t="str">
        <v>x</v>
      </c>
      <c r="G316" s="9" t="str">
        <v>Other</v>
      </c>
      <c r="H316" s="9" t="str">
        <v>Environmental - Other</v>
      </c>
      <c r="I316" s="12" t="str">
        <v>Cutting temperature</v>
      </c>
      <c r="J316" s="9" t="str">
        <v>This indicator measures the mean temperature at the tool-chip interface.</v>
      </c>
      <c r="K316" s="9" t="str">
        <v>Quantitative</v>
      </c>
      <c r="L316" s="9" t="str">
        <v>°C</v>
      </c>
      <c r="M316" s="9" t="str">
        <v>-</v>
      </c>
      <c r="N316" s="9">
        <v>2</v>
      </c>
      <c r="O316" s="9" t="str">
        <v>Bhanot et al. 2016a; Bhanot et al. 2016b</v>
      </c>
      <c r="P316" s="9" t="str">
        <v>Process</v>
      </c>
      <c r="Q316" s="9" t="str">
        <v>29 Manufacture of motor vehicles, trailers and semi-trailers; not specified</v>
      </c>
      <c r="R316" s="9" t="str">
        <v>Separating</v>
      </c>
      <c r="S316" s="9" t="str">
        <v>not specified</v>
      </c>
    </row>
    <row r="317" spans="1:19" ht="51.5" customHeight="1" x14ac:dyDescent="0.35">
      <c r="A317" s="9" t="str">
        <v>32-001</v>
      </c>
      <c r="B317" s="9" t="str">
        <v>Operational processes</v>
      </c>
      <c r="C317" s="9" t="str">
        <v>Design of processes</v>
      </c>
      <c r="D317" s="9" t="str">
        <v>Operational processes - Design of processes</v>
      </c>
      <c r="E317" s="9" t="str">
        <v>x</v>
      </c>
      <c r="F317" s="9">
        <v>0</v>
      </c>
      <c r="G317" s="9" t="str">
        <v>Other</v>
      </c>
      <c r="H317" s="9" t="str">
        <v>Economic - Other</v>
      </c>
      <c r="I317" s="12" t="str">
        <v>Process design for employee safety</v>
      </c>
      <c r="J317" s="9" t="str">
        <v>This indicator examines whether the processes were designed with safety, ergonomics, and the use of safe material in mind.</v>
      </c>
      <c r="K317" s="9" t="str">
        <v>Qualitative</v>
      </c>
      <c r="L317" s="9" t="str">
        <v>descriptive</v>
      </c>
      <c r="M317" s="9" t="str">
        <v>-</v>
      </c>
      <c r="N317" s="9">
        <v>1</v>
      </c>
      <c r="O317" s="9" t="str">
        <v>Lin et al. 2020</v>
      </c>
      <c r="P317" s="9" t="str">
        <v>Process</v>
      </c>
      <c r="Q317" s="9" t="str">
        <v>not specified</v>
      </c>
      <c r="R317" s="9" t="str">
        <v>not specified</v>
      </c>
      <c r="S317" s="9" t="str">
        <v>not specified</v>
      </c>
    </row>
    <row r="318" spans="1:19" ht="51.5" customHeight="1" x14ac:dyDescent="0.35">
      <c r="A318" s="9" t="str">
        <v>32-002</v>
      </c>
      <c r="B318" s="9" t="str">
        <v>Operational processes</v>
      </c>
      <c r="C318" s="9" t="str">
        <v>Design of processes</v>
      </c>
      <c r="D318" s="9" t="str">
        <v>Operational processes - Design of processes</v>
      </c>
      <c r="E318" s="9" t="str">
        <v>x</v>
      </c>
      <c r="F318" s="9">
        <v>0</v>
      </c>
      <c r="G318" s="9" t="str">
        <v>Other</v>
      </c>
      <c r="H318" s="9" t="str">
        <v>Economic - Other</v>
      </c>
      <c r="I318" s="12" t="str">
        <v>Working time</v>
      </c>
      <c r="J318" s="9" t="str">
        <v>This indicator measures the hours of working time per day.</v>
      </c>
      <c r="K318" s="9" t="str">
        <v>Quantitative</v>
      </c>
      <c r="L318" s="9" t="str">
        <v>hours</v>
      </c>
      <c r="M318" s="9" t="str">
        <v>-</v>
      </c>
      <c r="N318" s="9">
        <v>1</v>
      </c>
      <c r="O318" s="9" t="str">
        <v>Favi et al. 2017</v>
      </c>
      <c r="P318" s="9" t="str">
        <v>Factory</v>
      </c>
      <c r="Q318" s="9" t="str">
        <v>27 Manufacture of electrical equipment</v>
      </c>
      <c r="R318" s="9" t="str">
        <v>not specified</v>
      </c>
      <c r="S318" s="9" t="str">
        <v>not specified</v>
      </c>
    </row>
    <row r="319" spans="1:19" ht="51.5" customHeight="1" x14ac:dyDescent="0.35">
      <c r="A319" s="9" t="str">
        <v>32-003</v>
      </c>
      <c r="B319" s="9" t="str">
        <v>Operational processes</v>
      </c>
      <c r="C319" s="9" t="str">
        <v>Design of processes</v>
      </c>
      <c r="D319" s="9" t="str">
        <v>Operational processes - Design of processes</v>
      </c>
      <c r="E319" s="9" t="str">
        <v>x</v>
      </c>
      <c r="F319" s="9">
        <v>0</v>
      </c>
      <c r="G319" s="9" t="str">
        <v>Other</v>
      </c>
      <c r="H319" s="9" t="str">
        <v>Economic - Other</v>
      </c>
      <c r="I319" s="12" t="str">
        <v>Working shifts</v>
      </c>
      <c r="J319" s="9" t="str">
        <v>This indicator measures the number of working shifts.</v>
      </c>
      <c r="K319" s="9" t="str">
        <v>Quantitative</v>
      </c>
      <c r="L319" s="9" t="str">
        <v>#</v>
      </c>
      <c r="M319" s="9" t="str">
        <v>-</v>
      </c>
      <c r="N319" s="9">
        <v>1</v>
      </c>
      <c r="O319" s="9" t="str">
        <v>Favi et al. 2017</v>
      </c>
      <c r="P319" s="9" t="str">
        <v>Factory</v>
      </c>
      <c r="Q319" s="9" t="str">
        <v>27 Manufacture of electrical equipment</v>
      </c>
      <c r="R319" s="9" t="str">
        <v>not specified</v>
      </c>
      <c r="S319" s="9" t="str">
        <v>not specified</v>
      </c>
    </row>
    <row r="320" spans="1:19" ht="51.5" customHeight="1" x14ac:dyDescent="0.35">
      <c r="A320" s="9" t="str">
        <v>32-004</v>
      </c>
      <c r="B320" s="9" t="str">
        <v>Operational processes</v>
      </c>
      <c r="C320" s="9" t="str">
        <v>Design of processes</v>
      </c>
      <c r="D320" s="9" t="str">
        <v>Operational processes - Design of processes</v>
      </c>
      <c r="E320" s="9" t="str">
        <v>x</v>
      </c>
      <c r="F320" s="9">
        <v>0</v>
      </c>
      <c r="G320" s="9" t="str">
        <v>Other</v>
      </c>
      <c r="H320" s="9" t="str">
        <v>Economic - Other</v>
      </c>
      <c r="I320" s="12" t="str">
        <v>Working days</v>
      </c>
      <c r="J320" s="9" t="str">
        <v>This indicator measures the number of working days per year.</v>
      </c>
      <c r="K320" s="9" t="str">
        <v>Quantitative</v>
      </c>
      <c r="L320" s="9" t="str">
        <v>#</v>
      </c>
      <c r="M320" s="9" t="str">
        <v>-</v>
      </c>
      <c r="N320" s="9">
        <v>1</v>
      </c>
      <c r="O320" s="9" t="str">
        <v>Favi et al. 2017</v>
      </c>
      <c r="P320" s="9" t="str">
        <v>Factory</v>
      </c>
      <c r="Q320" s="9" t="str">
        <v>27 Manufacture of electrical equipment</v>
      </c>
      <c r="R320" s="9" t="str">
        <v>not specified</v>
      </c>
      <c r="S320" s="9" t="str">
        <v>not specified</v>
      </c>
    </row>
    <row r="321" spans="1:19" ht="51.5" customHeight="1" x14ac:dyDescent="0.35">
      <c r="A321" s="9" t="str">
        <v>32-005</v>
      </c>
      <c r="B321" s="9" t="str">
        <v>Operational processes</v>
      </c>
      <c r="C321" s="9" t="str">
        <v>Design of processes</v>
      </c>
      <c r="D321" s="9" t="str">
        <v>Operational processes - Design of processes</v>
      </c>
      <c r="E321" s="9" t="str">
        <v>x</v>
      </c>
      <c r="F321" s="9">
        <v>0</v>
      </c>
      <c r="G321" s="9" t="str">
        <v>Other</v>
      </c>
      <c r="H321" s="9" t="str">
        <v>Economic - Other</v>
      </c>
      <c r="I321" s="12" t="str">
        <v>Months in overload capacity</v>
      </c>
      <c r="J321" s="9" t="str">
        <v>This indicator meaures the maximal number of months in overload capacity.</v>
      </c>
      <c r="K321" s="9" t="str">
        <v>Quantitative</v>
      </c>
      <c r="L321" s="9" t="str">
        <v>#</v>
      </c>
      <c r="M321" s="9" t="str">
        <v>-</v>
      </c>
      <c r="N321" s="9">
        <v>1</v>
      </c>
      <c r="O321" s="9" t="str">
        <v>Favi et al. 2017</v>
      </c>
      <c r="P321" s="9" t="str">
        <v>Factory</v>
      </c>
      <c r="Q321" s="9" t="str">
        <v>27 Manufacture of electrical equipment</v>
      </c>
      <c r="R321" s="9" t="str">
        <v>not specified</v>
      </c>
      <c r="S321" s="9" t="str">
        <v>not specified</v>
      </c>
    </row>
    <row r="322" spans="1:19" ht="51.5" customHeight="1" x14ac:dyDescent="0.35">
      <c r="A322" s="9" t="str">
        <v>32-006</v>
      </c>
      <c r="B322" s="9" t="str">
        <v>Operational processes</v>
      </c>
      <c r="C322" s="9" t="str">
        <v>Design of processes</v>
      </c>
      <c r="D322" s="9" t="str">
        <v>Operational processes - Design of processes</v>
      </c>
      <c r="E322" s="9">
        <v>0</v>
      </c>
      <c r="F322" s="9" t="str">
        <v>x</v>
      </c>
      <c r="G322" s="9" t="str">
        <v>Resource Use &amp; Circular Economy</v>
      </c>
      <c r="H322" s="9" t="str">
        <v>Environmental - Resource Use &amp; Circular Economy</v>
      </c>
      <c r="I322" s="12" t="str">
        <v>Assembly design efficiency</v>
      </c>
      <c r="J322" s="9" t="str">
        <v>This indicator measures the assembly design efficiency with the following formula: 3 x (Theoretical Minimum Number of Parts) / Actual Assembly Time
This measure shows how far the assembly efficiency is from the 100% in an ideal hypothetical design. The indicator compares a given design to a hypothetical design of the same product consisting of the theoretical minimum number of parts and where each part can be assembled with minimal effort.</v>
      </c>
      <c r="K322" s="9" t="str">
        <v>Quantitative</v>
      </c>
      <c r="L322" s="9" t="str">
        <v>%</v>
      </c>
      <c r="M322" s="9" t="str">
        <v>-</v>
      </c>
      <c r="N322" s="9">
        <v>1</v>
      </c>
      <c r="O322" s="9" t="str">
        <v>Kravchenko et al. 2019</v>
      </c>
      <c r="P322" s="9" t="str">
        <v>Company</v>
      </c>
      <c r="Q322" s="9" t="str">
        <v>13 Manufacture of textiles; 28 Manufacture of machinery and equipment n.e.c.; 31 Manufacture of furniture</v>
      </c>
      <c r="R322" s="9" t="str">
        <v>not specified</v>
      </c>
      <c r="S322" s="9" t="str">
        <v>Micro; Large</v>
      </c>
    </row>
    <row r="323" spans="1:19" ht="51.5" customHeight="1" x14ac:dyDescent="0.35">
      <c r="A323" s="9" t="str">
        <v>32-007</v>
      </c>
      <c r="B323" s="9" t="str">
        <v>Operational processes</v>
      </c>
      <c r="C323" s="9" t="str">
        <v>Design of processes</v>
      </c>
      <c r="D323" s="9" t="str">
        <v>Operational processes - Design of processes</v>
      </c>
      <c r="E323" s="9" t="str">
        <v>x</v>
      </c>
      <c r="F323" s="9">
        <v>0</v>
      </c>
      <c r="G323" s="9" t="str">
        <v>Other</v>
      </c>
      <c r="H323" s="9" t="str">
        <v>Economic - Other</v>
      </c>
      <c r="I323" s="12" t="str">
        <v>Employee injury rate</v>
      </c>
      <c r="J323" s="9" t="str">
        <v>This indicator measures the employee injury rates during the manufacturing of each component of a product.</v>
      </c>
      <c r="K323" s="9" t="str">
        <v>Quantitative</v>
      </c>
      <c r="L323" s="9" t="str">
        <v>%</v>
      </c>
      <c r="M323" s="9" t="str">
        <v>-</v>
      </c>
      <c r="N323" s="9">
        <v>1</v>
      </c>
      <c r="O323" s="9" t="str">
        <v>Lin et al. 2020</v>
      </c>
      <c r="P323" s="9" t="str">
        <v>Process</v>
      </c>
      <c r="Q323" s="9" t="str">
        <v>not specified</v>
      </c>
      <c r="R323" s="9" t="str">
        <v>not specified</v>
      </c>
      <c r="S323" s="9" t="str">
        <v>not specified</v>
      </c>
    </row>
    <row r="324" spans="1:19" ht="51.5" customHeight="1" x14ac:dyDescent="0.35">
      <c r="A324" s="9" t="str">
        <v>33-001</v>
      </c>
      <c r="B324" s="9" t="str">
        <v>Operational processes</v>
      </c>
      <c r="C324" s="9" t="str">
        <v>Design of products</v>
      </c>
      <c r="D324" s="9" t="str">
        <v>Operational processes - Design of products</v>
      </c>
      <c r="E324" s="9" t="str">
        <v>x</v>
      </c>
      <c r="F324" s="9">
        <v>0</v>
      </c>
      <c r="G324" s="9" t="str">
        <v>Investments</v>
      </c>
      <c r="H324" s="9" t="str">
        <v>Economic - Investments</v>
      </c>
      <c r="I324" s="12" t="str">
        <v>New products</v>
      </c>
      <c r="J324" s="9" t="str">
        <v>This indicator measures the number of new products.</v>
      </c>
      <c r="K324" s="9" t="str">
        <v>Quantitative</v>
      </c>
      <c r="L324" s="9" t="str">
        <v>#</v>
      </c>
      <c r="M324" s="9" t="str">
        <v>-</v>
      </c>
      <c r="N324" s="9">
        <v>1</v>
      </c>
      <c r="O324" s="9" t="str">
        <v>Cagno et al. 2019</v>
      </c>
      <c r="P324" s="9" t="str">
        <v>Company</v>
      </c>
      <c r="Q324" s="9" t="str">
        <v>13 Manufacture of textiles; 24 Manufacture of basic metals; 28 Manufacture of machinery and equipment n.e.c.; 31 Manufacture of furniture</v>
      </c>
      <c r="R324" s="9" t="str">
        <v>not specified</v>
      </c>
      <c r="S324" s="9" t="str">
        <v>Small; Medium; Large</v>
      </c>
    </row>
    <row r="325" spans="1:19" ht="51.5" customHeight="1" x14ac:dyDescent="0.35">
      <c r="A325" s="9" t="str">
        <v>33-002</v>
      </c>
      <c r="B325" s="9" t="str">
        <v>Operational processes</v>
      </c>
      <c r="C325" s="9" t="str">
        <v>Design of products</v>
      </c>
      <c r="D325" s="9" t="str">
        <v>Operational processes - Design of products</v>
      </c>
      <c r="E325" s="9" t="str">
        <v>x</v>
      </c>
      <c r="F325" s="9">
        <v>0</v>
      </c>
      <c r="G325" s="9" t="str">
        <v>Investments</v>
      </c>
      <c r="H325" s="9" t="str">
        <v>Economic - Investments</v>
      </c>
      <c r="I325" s="12" t="str">
        <v>Product innovativeness</v>
      </c>
      <c r="J325" s="9" t="str">
        <v>This indicator measures the number of sustainable product innovations adopted by the organization.</v>
      </c>
      <c r="K325" s="9" t="str">
        <v>Quantitative</v>
      </c>
      <c r="L325" s="9" t="str">
        <v>#</v>
      </c>
      <c r="M325" s="9" t="str">
        <v>-</v>
      </c>
      <c r="N325" s="9">
        <v>1</v>
      </c>
      <c r="O325" s="9" t="str">
        <v>Gani et al. 2021</v>
      </c>
      <c r="P325" s="9" t="str">
        <v>Company</v>
      </c>
      <c r="Q325" s="9" t="str">
        <v>not specified</v>
      </c>
      <c r="R325" s="9" t="str">
        <v>not specified</v>
      </c>
      <c r="S325" s="9" t="str">
        <v>not specified</v>
      </c>
    </row>
    <row r="326" spans="1:19" ht="51.5" customHeight="1" x14ac:dyDescent="0.35">
      <c r="A326" s="9" t="str">
        <v>33-003</v>
      </c>
      <c r="B326" s="9" t="str">
        <v>Operational processes</v>
      </c>
      <c r="C326" s="9" t="str">
        <v>Design of products</v>
      </c>
      <c r="D326" s="9" t="str">
        <v>Operational processes - Design of products</v>
      </c>
      <c r="E326" s="9" t="str">
        <v>x</v>
      </c>
      <c r="F326" s="9">
        <v>0</v>
      </c>
      <c r="G326" s="9" t="str">
        <v>Cost</v>
      </c>
      <c r="H326" s="9" t="str">
        <v>Economic - Cost</v>
      </c>
      <c r="I326" s="12" t="str">
        <v>Costs of environmental product innovation</v>
      </c>
      <c r="J326" s="9" t="str">
        <v>This indicator measures the costs associated with environmental product innovation.</v>
      </c>
      <c r="K326" s="9" t="str">
        <v>Quantitative</v>
      </c>
      <c r="L326" s="9" t="str">
        <v>€</v>
      </c>
      <c r="M326" s="9" t="str">
        <v>-</v>
      </c>
      <c r="N326" s="9">
        <v>1</v>
      </c>
      <c r="O326" s="9" t="str">
        <v>Lee &amp; Farzipoor Saen 2012</v>
      </c>
      <c r="P326" s="9" t="str">
        <v>Company</v>
      </c>
      <c r="Q326" s="9" t="str">
        <v>24 Manufacture of basic metals; 26 Manufacture of computer, electronic and optical products; 29 Manufacture of motor vehicles, trailers and semi-trailers</v>
      </c>
      <c r="R326" s="9" t="str">
        <v>not specified</v>
      </c>
      <c r="S326" s="9" t="str">
        <v>Large</v>
      </c>
    </row>
    <row r="327" spans="1:19" ht="51.5" customHeight="1" x14ac:dyDescent="0.35">
      <c r="A327" s="9" t="str">
        <v>33-004</v>
      </c>
      <c r="B327" s="9" t="str">
        <v>Operational processes</v>
      </c>
      <c r="C327" s="9" t="str">
        <v>Design of products</v>
      </c>
      <c r="D327" s="9" t="str">
        <v>Operational processes - Design of products</v>
      </c>
      <c r="E327" s="9">
        <v>0</v>
      </c>
      <c r="F327" s="9" t="str">
        <v>x</v>
      </c>
      <c r="G327" s="9" t="str">
        <v>Resource Use &amp; Circular Economy</v>
      </c>
      <c r="H327" s="9" t="str">
        <v>Environmental - Resource Use &amp; Circular Economy</v>
      </c>
      <c r="I327" s="12" t="str">
        <v>Reduction of hazardous material</v>
      </c>
      <c r="J327" s="9" t="str">
        <v>This indicator describes measures to minimize the use of hazardous materials in products.</v>
      </c>
      <c r="K327" s="9" t="str">
        <v>Qualitative</v>
      </c>
      <c r="L327" s="9" t="str">
        <v>descriptive</v>
      </c>
      <c r="M327" s="9" t="str">
        <v>-</v>
      </c>
      <c r="N327" s="9">
        <v>1</v>
      </c>
      <c r="O327" s="9" t="str">
        <v>Lin et al. 2020</v>
      </c>
      <c r="P327" s="9" t="str">
        <v>Process</v>
      </c>
      <c r="Q327" s="9" t="str">
        <v>not specified</v>
      </c>
      <c r="R327" s="9" t="str">
        <v>not specified</v>
      </c>
      <c r="S327" s="9" t="str">
        <v>not specified</v>
      </c>
    </row>
    <row r="328" spans="1:19" ht="51.5" customHeight="1" x14ac:dyDescent="0.35">
      <c r="A328" s="9" t="str">
        <v>33-005</v>
      </c>
      <c r="B328" s="9" t="str">
        <v>Operational processes</v>
      </c>
      <c r="C328" s="9" t="str">
        <v>Design of products</v>
      </c>
      <c r="D328" s="9" t="str">
        <v>Operational processes - Design of products</v>
      </c>
      <c r="E328" s="9">
        <v>0</v>
      </c>
      <c r="F328" s="9" t="str">
        <v>x</v>
      </c>
      <c r="G328" s="9" t="str">
        <v>Resource Use &amp; Circular Economy</v>
      </c>
      <c r="H328" s="9" t="str">
        <v>Environmental - Resource Use &amp; Circular Economy</v>
      </c>
      <c r="I328" s="12" t="str">
        <v>Design for end of life</v>
      </c>
      <c r="J328" s="9" t="str">
        <v>This indicator measures the percentage of products designed for disassembly, reuse, or recycling.</v>
      </c>
      <c r="K328" s="9" t="str">
        <v>Quantitative</v>
      </c>
      <c r="L328" s="9" t="str">
        <v>%</v>
      </c>
      <c r="M328" s="9" t="str">
        <v>-</v>
      </c>
      <c r="N328" s="9">
        <v>4</v>
      </c>
      <c r="O328" s="9" t="str">
        <v>Gani et al. 2021; Huang &amp; Badurdeen 2018; Li et al. 2012; ISO14031</v>
      </c>
      <c r="P328" s="9" t="str">
        <v>Company; Factory; Production line</v>
      </c>
      <c r="Q328" s="9" t="str">
        <v>26 Manufacture of computer, electronic and optical products; not specified</v>
      </c>
      <c r="R328" s="9" t="str">
        <v>Original forming; Joining; Coating and finishing; Change of material properties; not specified</v>
      </c>
      <c r="S328" s="9" t="str">
        <v>not specified</v>
      </c>
    </row>
    <row r="329" spans="1:19" ht="51.5" customHeight="1" x14ac:dyDescent="0.35">
      <c r="A329" s="9" t="str">
        <v>33-006</v>
      </c>
      <c r="B329" s="9" t="str">
        <v>Operational processes</v>
      </c>
      <c r="C329" s="9" t="str">
        <v>Design of products</v>
      </c>
      <c r="D329" s="9" t="str">
        <v>Operational processes - Design of products</v>
      </c>
      <c r="E329" s="9">
        <v>0</v>
      </c>
      <c r="F329" s="9" t="str">
        <v>x</v>
      </c>
      <c r="G329" s="9" t="str">
        <v>Resource Use &amp; Circular Economy</v>
      </c>
      <c r="H329" s="9" t="str">
        <v>Environmental - Resource Use &amp; Circular Economy</v>
      </c>
      <c r="I329" s="12" t="str">
        <v>Labeling of material types</v>
      </c>
      <c r="J329" s="9" t="str">
        <v>This indicator measures the number of parts that carry material identification labels in the product to facilitate collection and recycling.</v>
      </c>
      <c r="K329" s="9" t="str">
        <v>Quantitative</v>
      </c>
      <c r="L329" s="9" t="str">
        <v>#</v>
      </c>
      <c r="M329" s="9" t="str">
        <v>-</v>
      </c>
      <c r="N329" s="9">
        <v>1</v>
      </c>
      <c r="O329" s="9" t="str">
        <v>Kravchenko et al. 2019</v>
      </c>
      <c r="P329" s="9" t="str">
        <v>Company</v>
      </c>
      <c r="Q329" s="9" t="str">
        <v>13 Manufacture of textiles; 28 Manufacture of machinery and equipment n.e.c.; 31 Manufacture of furniture</v>
      </c>
      <c r="R329" s="9" t="str">
        <v>not specified</v>
      </c>
      <c r="S329" s="9" t="str">
        <v>Micro; Large</v>
      </c>
    </row>
    <row r="330" spans="1:19" ht="51.5" customHeight="1" x14ac:dyDescent="0.35">
      <c r="A330" s="9" t="str">
        <v>33-007</v>
      </c>
      <c r="B330" s="9" t="str">
        <v>Operational processes</v>
      </c>
      <c r="C330" s="9" t="str">
        <v>Design of products</v>
      </c>
      <c r="D330" s="9" t="str">
        <v>Operational processes - Design of products</v>
      </c>
      <c r="E330" s="9">
        <v>0</v>
      </c>
      <c r="F330" s="9" t="str">
        <v>x</v>
      </c>
      <c r="G330" s="9" t="str">
        <v>Resource Use &amp; Circular Economy</v>
      </c>
      <c r="H330" s="9" t="str">
        <v>Environmental - Resource Use &amp; Circular Economy</v>
      </c>
      <c r="I330" s="12" t="str">
        <v>Products with instructions regarding environmentally safe use and disposal</v>
      </c>
      <c r="J330" s="9" t="str">
        <v>This indicator measures the percentage of products with instructions regarding environmentally safe use and disposal.</v>
      </c>
      <c r="K330" s="9" t="str">
        <v>Quantitative</v>
      </c>
      <c r="L330" s="9" t="str">
        <v>%</v>
      </c>
      <c r="M330" s="9" t="str">
        <v>-</v>
      </c>
      <c r="N330" s="9">
        <v>1</v>
      </c>
      <c r="O330" s="9" t="str">
        <v>ISO14031</v>
      </c>
      <c r="P330" s="9" t="str">
        <v>Company; Factory</v>
      </c>
      <c r="Q330" s="9" t="str">
        <v>not specified</v>
      </c>
      <c r="R330" s="9" t="str">
        <v>not specified</v>
      </c>
      <c r="S330" s="9" t="str">
        <v>not specified</v>
      </c>
    </row>
    <row r="331" spans="1:19" ht="51.5" customHeight="1" x14ac:dyDescent="0.35">
      <c r="A331" s="9" t="str">
        <v>33-008</v>
      </c>
      <c r="B331" s="9" t="str">
        <v>Operational processes</v>
      </c>
      <c r="C331" s="9" t="str">
        <v>Design of products</v>
      </c>
      <c r="D331" s="9" t="str">
        <v>Operational processes - Design of products</v>
      </c>
      <c r="E331" s="9">
        <v>0</v>
      </c>
      <c r="F331" s="9" t="str">
        <v>x</v>
      </c>
      <c r="G331" s="9" t="str">
        <v>Resource Use &amp; Circular Economy</v>
      </c>
      <c r="H331" s="9" t="str">
        <v>Environmental - Resource Use &amp; Circular Economy</v>
      </c>
      <c r="I331" s="12" t="str">
        <v>Laminated or Compound Materials</v>
      </c>
      <c r="J331" s="9" t="str">
        <v>This indicator measures the mass of laminated materials or compounds in relation to the total weight of the product.</v>
      </c>
      <c r="K331" s="9" t="str">
        <v>Quantitative</v>
      </c>
      <c r="L331" s="9" t="str">
        <v>%</v>
      </c>
      <c r="M331" s="9" t="str">
        <v>-</v>
      </c>
      <c r="N331" s="9">
        <v>1</v>
      </c>
      <c r="O331" s="9" t="str">
        <v>Kravchenko et al. 2019</v>
      </c>
      <c r="P331" s="9" t="str">
        <v>Company</v>
      </c>
      <c r="Q331" s="9" t="str">
        <v>13 Manufacture of textiles; 28 Manufacture of machinery and equipment n.e.c.; 31 Manufacture of furniture</v>
      </c>
      <c r="R331" s="9" t="str">
        <v>not specified</v>
      </c>
      <c r="S331" s="9" t="str">
        <v>Micro; Large</v>
      </c>
    </row>
    <row r="332" spans="1:19" ht="51.5" customHeight="1" x14ac:dyDescent="0.35">
      <c r="A332" s="9" t="str">
        <v>33-009</v>
      </c>
      <c r="B332" s="9" t="str">
        <v>Operational processes</v>
      </c>
      <c r="C332" s="9" t="str">
        <v>Design of products</v>
      </c>
      <c r="D332" s="9" t="str">
        <v>Operational processes - Design of products</v>
      </c>
      <c r="E332" s="9">
        <v>0</v>
      </c>
      <c r="F332" s="9" t="str">
        <v>x</v>
      </c>
      <c r="G332" s="9" t="str">
        <v>Resource Use &amp; Circular Economy</v>
      </c>
      <c r="H332" s="9" t="str">
        <v>Environmental - Resource Use &amp; Circular Economy</v>
      </c>
      <c r="I332" s="12" t="str">
        <v>Painted, Stained, or Pigmented Surfaces</v>
      </c>
      <c r="J332" s="9" t="str">
        <v>This indicator measures the sum of the painted, pigmented, or stained surfaces to the total surface of the product.</v>
      </c>
      <c r="K332" s="9" t="str">
        <v>Quantitative</v>
      </c>
      <c r="L332" s="9" t="str">
        <v>%</v>
      </c>
      <c r="M332" s="9" t="str">
        <v>-</v>
      </c>
      <c r="N332" s="9">
        <v>1</v>
      </c>
      <c r="O332" s="9" t="str">
        <v>Kravchenko et al. 2019</v>
      </c>
      <c r="P332" s="9" t="str">
        <v>Company</v>
      </c>
      <c r="Q332" s="9" t="str">
        <v>13 Manufacture of textiles; 28 Manufacture of machinery and equipment n.e.c.; 31 Manufacture of furniture</v>
      </c>
      <c r="R332" s="9" t="str">
        <v>not specified</v>
      </c>
      <c r="S332" s="9" t="str">
        <v>Micro; Large</v>
      </c>
    </row>
    <row r="333" spans="1:19" ht="51.5" customHeight="1" x14ac:dyDescent="0.35">
      <c r="A333" s="9" t="str">
        <v>33-010</v>
      </c>
      <c r="B333" s="9" t="str">
        <v>Operational processes</v>
      </c>
      <c r="C333" s="9" t="str">
        <v>Design of products</v>
      </c>
      <c r="D333" s="9" t="str">
        <v>Operational processes - Design of products</v>
      </c>
      <c r="E333" s="9">
        <v>0</v>
      </c>
      <c r="F333" s="9" t="str">
        <v>x</v>
      </c>
      <c r="G333" s="9" t="str">
        <v>Resource Use &amp; Circular Economy</v>
      </c>
      <c r="H333" s="9" t="str">
        <v>Environmental - Resource Use &amp; Circular Economy</v>
      </c>
      <c r="I333" s="12" t="str">
        <v>Number of Reversible Joints</v>
      </c>
      <c r="J333" s="9" t="str">
        <v>This indicator measures the number of reversible joints [e.g., bolts, screws] to the total number of joints.</v>
      </c>
      <c r="K333" s="9" t="str">
        <v>Quantitative</v>
      </c>
      <c r="L333" s="9" t="str">
        <v>#</v>
      </c>
      <c r="M333" s="9" t="str">
        <v>-</v>
      </c>
      <c r="N333" s="9">
        <v>1</v>
      </c>
      <c r="O333" s="9" t="str">
        <v>Kravchenko et al. 2019</v>
      </c>
      <c r="P333" s="9" t="str">
        <v>Company</v>
      </c>
      <c r="Q333" s="9" t="str">
        <v>13 Manufacture of textiles; 28 Manufacture of machinery and equipment n.e.c.; 31 Manufacture of furniture</v>
      </c>
      <c r="R333" s="9" t="str">
        <v>not specified</v>
      </c>
      <c r="S333" s="9" t="str">
        <v>Micro; Large</v>
      </c>
    </row>
    <row r="334" spans="1:19" ht="51.5" customHeight="1" x14ac:dyDescent="0.35">
      <c r="A334" s="9" t="str">
        <v>33-011</v>
      </c>
      <c r="B334" s="9" t="str">
        <v>Operational processes</v>
      </c>
      <c r="C334" s="9" t="str">
        <v>Design of products</v>
      </c>
      <c r="D334" s="9" t="str">
        <v>Operational processes - Design of products</v>
      </c>
      <c r="E334" s="9">
        <v>0</v>
      </c>
      <c r="F334" s="9" t="str">
        <v>x</v>
      </c>
      <c r="G334" s="9" t="str">
        <v>Resource Use &amp; Circular Economy</v>
      </c>
      <c r="H334" s="9" t="str">
        <v>Environmental - Resource Use &amp; Circular Economy</v>
      </c>
      <c r="I334" s="12" t="str">
        <v>Product recyclability</v>
      </c>
      <c r="J334" s="9" t="str">
        <v>This indicator measures the product recyclability, expressed as a percentage of the material that can potentially be recycled relative to the total amount of material of the product.</v>
      </c>
      <c r="K334" s="9" t="str">
        <v>Quantitative</v>
      </c>
      <c r="L334" s="9" t="str">
        <v>%</v>
      </c>
      <c r="M334" s="9" t="str">
        <v>-</v>
      </c>
      <c r="N334" s="9">
        <v>3</v>
      </c>
      <c r="O334" s="9" t="str">
        <v>Kravchenko et al. 2019; Singh et al. 2007b; OECD</v>
      </c>
      <c r="P334" s="9" t="str">
        <v>Company; Factory; Production line; Work cell; Process</v>
      </c>
      <c r="Q334" s="9" t="str">
        <v>13 Manufacture of textiles; 28 Manufacture of machinery and equipment n.e.c.; 29 Manufacture of motor vehicles, trailers and semi-trailers; 31 Manufacture of furniture; not specified</v>
      </c>
      <c r="R334" s="9" t="str">
        <v>Original forming; Separating; Change of material properties; not specified</v>
      </c>
      <c r="S334" s="9" t="str">
        <v>Micro; Small; Medium; Large; not specified</v>
      </c>
    </row>
    <row r="335" spans="1:19" ht="51.5" customHeight="1" x14ac:dyDescent="0.35">
      <c r="A335" s="9" t="str">
        <v>33-012</v>
      </c>
      <c r="B335" s="9" t="str">
        <v>Operational processes</v>
      </c>
      <c r="C335" s="9" t="str">
        <v>Design of products</v>
      </c>
      <c r="D335" s="9" t="str">
        <v>Operational processes - Design of products</v>
      </c>
      <c r="E335" s="9">
        <v>0</v>
      </c>
      <c r="F335" s="9" t="str">
        <v>x</v>
      </c>
      <c r="G335" s="9" t="str">
        <v>Resource Use &amp; Circular Economy</v>
      </c>
      <c r="H335" s="9" t="str">
        <v>Environmental - Resource Use &amp; Circular Economy</v>
      </c>
      <c r="I335" s="12" t="str">
        <v>Products that can be reused or recycled</v>
      </c>
      <c r="J335" s="9" t="str">
        <v>This indicator measures the number of products that can be reused or recycled.</v>
      </c>
      <c r="K335" s="9" t="str">
        <v>Quantitative</v>
      </c>
      <c r="L335" s="9" t="str">
        <v>#</v>
      </c>
      <c r="M335" s="9" t="str">
        <v>-</v>
      </c>
      <c r="N335" s="9">
        <v>1</v>
      </c>
      <c r="O335" s="9" t="str">
        <v>ISO14031</v>
      </c>
      <c r="P335" s="9" t="str">
        <v>Company; Factory</v>
      </c>
      <c r="Q335" s="9" t="str">
        <v>not specified</v>
      </c>
      <c r="R335" s="9" t="str">
        <v>not specified</v>
      </c>
      <c r="S335" s="9" t="str">
        <v>not specified</v>
      </c>
    </row>
    <row r="336" spans="1:19" ht="51.5" customHeight="1" x14ac:dyDescent="0.35">
      <c r="A336" s="9" t="str">
        <v>33-013</v>
      </c>
      <c r="B336" s="9" t="str">
        <v>Operational processes</v>
      </c>
      <c r="C336" s="9" t="str">
        <v>Design of products</v>
      </c>
      <c r="D336" s="9" t="str">
        <v>Operational processes - Design of products</v>
      </c>
      <c r="E336" s="9">
        <v>0</v>
      </c>
      <c r="F336" s="9" t="str">
        <v>x</v>
      </c>
      <c r="G336" s="9" t="str">
        <v>Climate Change</v>
      </c>
      <c r="H336" s="9" t="str">
        <v>Environmental - Climate Change</v>
      </c>
      <c r="I336" s="12" t="str">
        <v>Intensity of energy consumption of products</v>
      </c>
      <c r="J336" s="9" t="str">
        <v>This indicator measures the amount of energy the product requires during a typical year's use per unit of output.</v>
      </c>
      <c r="K336" s="9" t="str">
        <v>Quantitative</v>
      </c>
      <c r="L336" s="9" t="str">
        <v>J/UOP</v>
      </c>
      <c r="M336" s="9" t="str">
        <v>-</v>
      </c>
      <c r="N336" s="9">
        <v>1</v>
      </c>
      <c r="O336" s="9" t="str">
        <v>OECD</v>
      </c>
      <c r="P336" s="9" t="str">
        <v>Factory; Production line; Work cell; Process</v>
      </c>
      <c r="Q336" s="9" t="str">
        <v>not specified</v>
      </c>
      <c r="R336" s="9" t="str">
        <v>not specified</v>
      </c>
      <c r="S336" s="9" t="str">
        <v>Small; Medium</v>
      </c>
    </row>
    <row r="337" spans="1:19" ht="51.5" customHeight="1" x14ac:dyDescent="0.35">
      <c r="A337" s="9" t="str">
        <v>33-014</v>
      </c>
      <c r="B337" s="9" t="str">
        <v>Operational processes</v>
      </c>
      <c r="C337" s="9" t="str">
        <v>Design of products</v>
      </c>
      <c r="D337" s="9" t="str">
        <v>Operational processes - Design of products</v>
      </c>
      <c r="E337" s="9">
        <v>0</v>
      </c>
      <c r="F337" s="9" t="str">
        <v>x</v>
      </c>
      <c r="G337" s="9" t="str">
        <v>Climate Change</v>
      </c>
      <c r="H337" s="9" t="str">
        <v>Environmental - Climate Change</v>
      </c>
      <c r="I337" s="12" t="str">
        <v>Intensity of greenhouse gas (GHG) emissions from products</v>
      </c>
      <c r="J337" s="9" t="str">
        <v>This indicator measures the amount of GHGs generated by a product during a typical year's use per unit of output.</v>
      </c>
      <c r="K337" s="9" t="str">
        <v>Quantitative</v>
      </c>
      <c r="L337" s="9" t="str">
        <v>CO2-eq/UOP</v>
      </c>
      <c r="M337" s="9" t="str">
        <v>-</v>
      </c>
      <c r="N337" s="9">
        <v>1</v>
      </c>
      <c r="O337" s="9" t="str">
        <v>OECD</v>
      </c>
      <c r="P337" s="9" t="str">
        <v>Factory; Production line; Work cell; Process</v>
      </c>
      <c r="Q337" s="9" t="str">
        <v>not specified</v>
      </c>
      <c r="R337" s="9" t="str">
        <v>not specified</v>
      </c>
      <c r="S337" s="9" t="str">
        <v>Small; Medium</v>
      </c>
    </row>
    <row r="338" spans="1:19" ht="51.5" customHeight="1" x14ac:dyDescent="0.35">
      <c r="A338" s="9" t="str">
        <v>33-015</v>
      </c>
      <c r="B338" s="9" t="str">
        <v>Operational processes</v>
      </c>
      <c r="C338" s="9" t="str">
        <v>Design of products</v>
      </c>
      <c r="D338" s="9" t="str">
        <v>Operational processes - Design of products</v>
      </c>
      <c r="E338" s="9">
        <v>0</v>
      </c>
      <c r="F338" s="9" t="str">
        <v>x</v>
      </c>
      <c r="G338" s="9" t="str">
        <v>Resource Use &amp; Circular Economy</v>
      </c>
      <c r="H338" s="9" t="str">
        <v>Environmental - Resource Use &amp; Circular Economy</v>
      </c>
      <c r="I338" s="12" t="str">
        <v>Recycled/ reused content of products</v>
      </c>
      <c r="J338" s="9" t="str">
        <v>This indicator measures the weight of recycled and reused content in a product to the total weight of a product.</v>
      </c>
      <c r="K338" s="9" t="str">
        <v>Quantitative</v>
      </c>
      <c r="L338" s="9" t="str">
        <v>%</v>
      </c>
      <c r="M338" s="9" t="str">
        <v>-</v>
      </c>
      <c r="N338" s="9">
        <v>1</v>
      </c>
      <c r="O338" s="9" t="str">
        <v>OECD</v>
      </c>
      <c r="P338" s="9" t="str">
        <v>Factory; Production line; Work cell; Process</v>
      </c>
      <c r="Q338" s="9" t="str">
        <v>not specified</v>
      </c>
      <c r="R338" s="9" t="str">
        <v>not specified</v>
      </c>
      <c r="S338" s="9" t="str">
        <v>Small; Medium</v>
      </c>
    </row>
    <row r="339" spans="1:19" ht="51.5" customHeight="1" x14ac:dyDescent="0.35">
      <c r="A339" s="9" t="str">
        <v>33-016</v>
      </c>
      <c r="B339" s="9" t="str">
        <v>Operational processes</v>
      </c>
      <c r="C339" s="9" t="str">
        <v>Design of products</v>
      </c>
      <c r="D339" s="9" t="str">
        <v>Operational processes - Design of products</v>
      </c>
      <c r="E339" s="9">
        <v>0</v>
      </c>
      <c r="F339" s="9" t="str">
        <v>x</v>
      </c>
      <c r="G339" s="9" t="str">
        <v>Resource Use &amp; Circular Economy</v>
      </c>
      <c r="H339" s="9" t="str">
        <v>Environmental - Resource Use &amp; Circular Economy</v>
      </c>
      <c r="I339" s="12" t="str">
        <v>Renewable materials content of products</v>
      </c>
      <c r="J339" s="9" t="str">
        <v>This indicator measures the weight of renewable materials in a product to the total weight of a product.</v>
      </c>
      <c r="K339" s="9" t="str">
        <v>Quantitative</v>
      </c>
      <c r="L339" s="9" t="str">
        <v>%</v>
      </c>
      <c r="M339" s="9" t="str">
        <v>-</v>
      </c>
      <c r="N339" s="9">
        <v>1</v>
      </c>
      <c r="O339" s="9" t="str">
        <v>OECD</v>
      </c>
      <c r="P339" s="9" t="str">
        <v>Factory; Production line; Work cell; Process</v>
      </c>
      <c r="Q339" s="9" t="str">
        <v>not specified</v>
      </c>
      <c r="R339" s="9" t="str">
        <v>not specified</v>
      </c>
      <c r="S339" s="9" t="str">
        <v>Small; Medium</v>
      </c>
    </row>
    <row r="340" spans="1:19" ht="51.5" customHeight="1" x14ac:dyDescent="0.35">
      <c r="A340" s="9" t="str">
        <v>33-017</v>
      </c>
      <c r="B340" s="9" t="str">
        <v>Operational processes</v>
      </c>
      <c r="C340" s="9" t="str">
        <v>Design of products</v>
      </c>
      <c r="D340" s="9" t="str">
        <v>Operational processes - Design of products</v>
      </c>
      <c r="E340" s="9">
        <v>0</v>
      </c>
      <c r="F340" s="9" t="str">
        <v>x</v>
      </c>
      <c r="G340" s="9" t="str">
        <v>Resource Use &amp; Circular Economy</v>
      </c>
      <c r="H340" s="9" t="str">
        <v>Environmental - Resource Use &amp; Circular Economy</v>
      </c>
      <c r="I340" s="12" t="str">
        <v>Non-renewable materials intensity over product lifetime</v>
      </c>
      <c r="J340" s="9" t="str">
        <v>This indicator measures the weight of non-renewable content in a product to the expected lifetime of a product.</v>
      </c>
      <c r="K340" s="9" t="str">
        <v>Quantitative</v>
      </c>
      <c r="L340" s="9" t="str">
        <v>kg/amount of time</v>
      </c>
      <c r="M340" s="9" t="str">
        <v>-</v>
      </c>
      <c r="N340" s="9">
        <v>1</v>
      </c>
      <c r="O340" s="9" t="str">
        <v>OECD</v>
      </c>
      <c r="P340" s="9" t="str">
        <v>Factory; Production line; Work cell; Process</v>
      </c>
      <c r="Q340" s="9" t="str">
        <v>not specified</v>
      </c>
      <c r="R340" s="9" t="str">
        <v>not specified</v>
      </c>
      <c r="S340" s="9" t="str">
        <v>Small; Medium</v>
      </c>
    </row>
    <row r="341" spans="1:19" ht="51.5" customHeight="1" x14ac:dyDescent="0.35">
      <c r="A341" s="9" t="str">
        <v>33-018</v>
      </c>
      <c r="B341" s="9" t="str">
        <v>Operational processes</v>
      </c>
      <c r="C341" s="9" t="str">
        <v>Design of products</v>
      </c>
      <c r="D341" s="9" t="str">
        <v>Operational processes - Design of products</v>
      </c>
      <c r="E341" s="9">
        <v>0</v>
      </c>
      <c r="F341" s="9" t="str">
        <v>x</v>
      </c>
      <c r="G341" s="9" t="str">
        <v>Pollution</v>
      </c>
      <c r="H341" s="9" t="str">
        <v>Environmental - Pollution</v>
      </c>
      <c r="I341" s="12" t="str">
        <v>Restricted substances content of products</v>
      </c>
      <c r="J341" s="9" t="str">
        <v>This indicator measures the weight of restricted substances in a product to the total weight of a product.</v>
      </c>
      <c r="K341" s="9" t="str">
        <v>Quantitative</v>
      </c>
      <c r="L341" s="9" t="str">
        <v>%</v>
      </c>
      <c r="M341" s="9" t="str">
        <v>-</v>
      </c>
      <c r="N341" s="9">
        <v>1</v>
      </c>
      <c r="O341" s="9" t="str">
        <v>OECD</v>
      </c>
      <c r="P341" s="9" t="str">
        <v>Factory; Production line; Work cell; Process</v>
      </c>
      <c r="Q341" s="9" t="str">
        <v>not specified</v>
      </c>
      <c r="R341" s="9" t="str">
        <v>not specified</v>
      </c>
      <c r="S341" s="9" t="str">
        <v>Small; Medium</v>
      </c>
    </row>
    <row r="342" spans="1:19" ht="51.5" customHeight="1" x14ac:dyDescent="0.35">
      <c r="A342" s="9" t="str">
        <v>33-019</v>
      </c>
      <c r="B342" s="9" t="str">
        <v>Operational processes</v>
      </c>
      <c r="C342" s="9" t="str">
        <v>Design of products</v>
      </c>
      <c r="D342" s="9" t="str">
        <v>Operational processes - Design of products</v>
      </c>
      <c r="E342" s="9">
        <v>0</v>
      </c>
      <c r="F342" s="9" t="str">
        <v>x</v>
      </c>
      <c r="G342" s="9" t="str">
        <v>Resource Use &amp; Circular Economy</v>
      </c>
      <c r="H342" s="9" t="str">
        <v>Environmental - Resource Use &amp; Circular Economy</v>
      </c>
      <c r="I342" s="12" t="str">
        <v>Material reutilization score</v>
      </c>
      <c r="J342" s="9" t="str">
        <v>This indicator measures the ratio of secondary material content and recyclable or biodegradable content in a product to total material content.</v>
      </c>
      <c r="K342" s="9" t="str">
        <v>Quantitative</v>
      </c>
      <c r="L342" s="9" t="str">
        <v>%</v>
      </c>
      <c r="M342" s="9" t="str">
        <v>-</v>
      </c>
      <c r="N342" s="9">
        <v>2</v>
      </c>
      <c r="O342" s="9" t="str">
        <v>Syu et al. 2022; ISO14031</v>
      </c>
      <c r="P342" s="9" t="str">
        <v>Company; Factory; Production line</v>
      </c>
      <c r="Q342" s="9" t="str">
        <v>22 Manufacture of rubber and plastic products; not specified</v>
      </c>
      <c r="R342" s="9" t="str">
        <v>Original forming; not specified</v>
      </c>
      <c r="S342" s="9" t="str">
        <v>not specified</v>
      </c>
    </row>
    <row r="343" spans="1:19" ht="51.5" customHeight="1" x14ac:dyDescent="0.35">
      <c r="A343" s="9" t="str">
        <v>33-020</v>
      </c>
      <c r="B343" s="9" t="str">
        <v>Operational processes</v>
      </c>
      <c r="C343" s="9" t="str">
        <v>Design of products</v>
      </c>
      <c r="D343" s="9" t="str">
        <v>Operational processes - Design of products</v>
      </c>
      <c r="E343" s="9">
        <v>0</v>
      </c>
      <c r="F343" s="9" t="str">
        <v>x</v>
      </c>
      <c r="G343" s="9" t="str">
        <v>Resource Use &amp; Circular Economy</v>
      </c>
      <c r="H343" s="9" t="str">
        <v>Environmental - Resource Use &amp; Circular Economy</v>
      </c>
      <c r="I343" s="12" t="str">
        <v>Products with take-back policies in place</v>
      </c>
      <c r="J343" s="9" t="str">
        <v>This indicator measures the percentage of products with take-back policies in place.</v>
      </c>
      <c r="K343" s="9" t="str">
        <v>Quantitative</v>
      </c>
      <c r="L343" s="9" t="str">
        <v>%</v>
      </c>
      <c r="M343" s="9" t="str">
        <v>-</v>
      </c>
      <c r="N343" s="9">
        <v>2</v>
      </c>
      <c r="O343" s="9" t="str">
        <v>Gani et al. 2021; Li et al. 2012</v>
      </c>
      <c r="P343" s="9" t="str">
        <v>Company</v>
      </c>
      <c r="Q343" s="9" t="str">
        <v>26 Manufacture of computer, electronic and optical products; not specified</v>
      </c>
      <c r="R343" s="9" t="str">
        <v>not specified</v>
      </c>
      <c r="S343" s="9" t="str">
        <v>not specified</v>
      </c>
    </row>
    <row r="344" spans="1:19" ht="51.5" customHeight="1" x14ac:dyDescent="0.35">
      <c r="A344" s="9" t="str">
        <v>33-021</v>
      </c>
      <c r="B344" s="9" t="str">
        <v>Operational processes</v>
      </c>
      <c r="C344" s="9" t="str">
        <v>Design of products</v>
      </c>
      <c r="D344" s="9" t="str">
        <v>Operational processes - Design of products</v>
      </c>
      <c r="E344" s="9">
        <v>0</v>
      </c>
      <c r="F344" s="9" t="str">
        <v>x</v>
      </c>
      <c r="G344" s="9" t="str">
        <v>Resource Use &amp; Circular Economy</v>
      </c>
      <c r="H344" s="9" t="str">
        <v>Environmental - Resource Use &amp; Circular Economy</v>
      </c>
      <c r="I344" s="12" t="str">
        <v>Products with explicit "product stewardship" plans</v>
      </c>
      <c r="J344" s="9" t="str">
        <v>This indicator measures the percentage of products with explicit "product stewardship" plans.</v>
      </c>
      <c r="K344" s="9" t="str">
        <v>Quantitative</v>
      </c>
      <c r="L344" s="9" t="str">
        <v>%</v>
      </c>
      <c r="M344" s="9" t="str">
        <v>-</v>
      </c>
      <c r="N344" s="9">
        <v>1</v>
      </c>
      <c r="O344" s="9" t="str">
        <v>ISO14031</v>
      </c>
      <c r="P344" s="9" t="str">
        <v>Company; Factory</v>
      </c>
      <c r="Q344" s="9" t="str">
        <v>not specified</v>
      </c>
      <c r="R344" s="9" t="str">
        <v>not specified</v>
      </c>
      <c r="S344" s="9" t="str">
        <v>not specified</v>
      </c>
    </row>
    <row r="345" spans="1:19" ht="51.5" customHeight="1" x14ac:dyDescent="0.35">
      <c r="A345" s="9" t="str">
        <v>33-022</v>
      </c>
      <c r="B345" s="9" t="str">
        <v>Operational processes</v>
      </c>
      <c r="C345" s="9" t="str">
        <v>Design of products</v>
      </c>
      <c r="D345" s="9" t="str">
        <v>Operational processes - Design of products</v>
      </c>
      <c r="E345" s="9" t="str">
        <v>x</v>
      </c>
      <c r="F345" s="9">
        <v>0</v>
      </c>
      <c r="G345" s="9" t="str">
        <v>Other</v>
      </c>
      <c r="H345" s="9" t="str">
        <v>Economic - Other</v>
      </c>
      <c r="I345" s="12" t="str">
        <v>Products with an environmental label</v>
      </c>
      <c r="J345" s="9" t="str">
        <v>This indicator measures the percentage of products with an environmental label.</v>
      </c>
      <c r="K345" s="9" t="str">
        <v>Quantitative</v>
      </c>
      <c r="L345" s="9" t="str">
        <v>%</v>
      </c>
      <c r="M345" s="9" t="str">
        <v>-</v>
      </c>
      <c r="N345" s="9">
        <v>1</v>
      </c>
      <c r="O345" s="9" t="str">
        <v>Li et al. 2012</v>
      </c>
      <c r="P345" s="9" t="str">
        <v>Company</v>
      </c>
      <c r="Q345" s="9" t="str">
        <v>26 Manufacture of computer, electronic and optical products</v>
      </c>
      <c r="R345" s="9" t="str">
        <v>not specified</v>
      </c>
      <c r="S345" s="9" t="str">
        <v>not specified</v>
      </c>
    </row>
    <row r="346" spans="1:19" ht="51.5" customHeight="1" x14ac:dyDescent="0.35">
      <c r="A346" s="9" t="str">
        <v>33-023</v>
      </c>
      <c r="B346" s="9" t="str">
        <v>Operational processes</v>
      </c>
      <c r="C346" s="9" t="str">
        <v>Design of products</v>
      </c>
      <c r="D346" s="9" t="str">
        <v>Operational processes - Design of products</v>
      </c>
      <c r="E346" s="9">
        <v>0</v>
      </c>
      <c r="F346" s="9" t="str">
        <v>x</v>
      </c>
      <c r="G346" s="9" t="str">
        <v>Resource Use &amp; Circular Economy</v>
      </c>
      <c r="H346" s="9" t="str">
        <v>Environmental - Resource Use &amp; Circular Economy</v>
      </c>
      <c r="I346" s="12" t="str">
        <v xml:space="preserve">Efficiency of packaging design  </v>
      </c>
      <c r="J346" s="9" t="str">
        <v>This indicator measures the number of units packaged together for storage or transportation.</v>
      </c>
      <c r="K346" s="9" t="str">
        <v>Quantitative</v>
      </c>
      <c r="L346" s="9" t="str">
        <v>#</v>
      </c>
      <c r="M346" s="9" t="str">
        <v>-</v>
      </c>
      <c r="N346" s="9">
        <v>1</v>
      </c>
      <c r="O346" s="9" t="str">
        <v>Kravchenko et al. 2019</v>
      </c>
      <c r="P346" s="9" t="str">
        <v>Company</v>
      </c>
      <c r="Q346" s="9" t="str">
        <v>13 Manufacture of textiles; 28 Manufacture of machinery and equipment n.e.c.; 31 Manufacture of furniture</v>
      </c>
      <c r="R346" s="9" t="str">
        <v>not specified</v>
      </c>
      <c r="S346" s="9" t="str">
        <v>Micro; Large</v>
      </c>
    </row>
    <row r="347" spans="1:19" ht="51.5" customHeight="1" x14ac:dyDescent="0.35">
      <c r="A347" s="9" t="str">
        <v>33-024</v>
      </c>
      <c r="B347" s="9" t="str">
        <v>Operational processes</v>
      </c>
      <c r="C347" s="9" t="str">
        <v>Design of products</v>
      </c>
      <c r="D347" s="9" t="str">
        <v>Operational processes - Design of products</v>
      </c>
      <c r="E347" s="9">
        <v>0</v>
      </c>
      <c r="F347" s="9" t="str">
        <v>x</v>
      </c>
      <c r="G347" s="9" t="str">
        <v>Resource Use &amp; Circular Economy</v>
      </c>
      <c r="H347" s="9" t="str">
        <v>Environmental - Resource Use &amp; Circular Economy</v>
      </c>
      <c r="I347" s="12" t="str">
        <v xml:space="preserve">Packaging per Packaging Level </v>
      </c>
      <c r="J347" s="9" t="str">
        <v>This indicator measures the mass of packaging used per packaging level (sub-retail, retail, merchandising, traded and pallet).</v>
      </c>
      <c r="K347" s="9" t="str">
        <v>Quantitative</v>
      </c>
      <c r="L347" s="9" t="str">
        <v>unit of mass</v>
      </c>
      <c r="M347" s="9" t="str">
        <v>-</v>
      </c>
      <c r="N347" s="9">
        <v>1</v>
      </c>
      <c r="O347" s="9" t="str">
        <v>Kravchenko et al. 2019</v>
      </c>
      <c r="P347" s="9" t="str">
        <v>Company</v>
      </c>
      <c r="Q347" s="9" t="str">
        <v>13 Manufacture of textiles; 28 Manufacture of machinery and equipment n.e.c.; 31 Manufacture of furniture</v>
      </c>
      <c r="R347" s="9" t="str">
        <v>not specified</v>
      </c>
      <c r="S347" s="9" t="str">
        <v>Micro; Large</v>
      </c>
    </row>
    <row r="348" spans="1:19" ht="51.5" customHeight="1" x14ac:dyDescent="0.35">
      <c r="A348" s="9" t="str">
        <v>33-025</v>
      </c>
      <c r="B348" s="9" t="str">
        <v>Operational processes</v>
      </c>
      <c r="C348" s="9" t="str">
        <v>Design of products</v>
      </c>
      <c r="D348" s="9" t="str">
        <v>Operational processes - Design of products</v>
      </c>
      <c r="E348" s="9">
        <v>0</v>
      </c>
      <c r="F348" s="9" t="str">
        <v>x</v>
      </c>
      <c r="G348" s="9" t="str">
        <v>Resource Use &amp; Circular Economy</v>
      </c>
      <c r="H348" s="9" t="str">
        <v>Environmental - Resource Use &amp; Circular Economy</v>
      </c>
      <c r="I348" s="12" t="str">
        <v>Packaging Recyclability per Product</v>
      </c>
      <c r="J348" s="9" t="str">
        <v>This indicator measures the amount of recyclable packaging per product.</v>
      </c>
      <c r="K348" s="9" t="str">
        <v>Quantitative</v>
      </c>
      <c r="L348" s="9" t="str">
        <v>kg/UOP</v>
      </c>
      <c r="M348" s="9" t="str">
        <v>-</v>
      </c>
      <c r="N348" s="9">
        <v>1</v>
      </c>
      <c r="O348" s="9" t="str">
        <v>Kravchenko et al. 2019</v>
      </c>
      <c r="P348" s="9" t="str">
        <v>Company</v>
      </c>
      <c r="Q348" s="9" t="str">
        <v>13 Manufacture of textiles; 28 Manufacture of machinery and equipment n.e.c.; 31 Manufacture of furniture</v>
      </c>
      <c r="R348" s="9" t="str">
        <v>not specified</v>
      </c>
      <c r="S348" s="9" t="str">
        <v>Micro; Large</v>
      </c>
    </row>
    <row r="349" spans="1:19" ht="51.5" customHeight="1" x14ac:dyDescent="0.35">
      <c r="A349" s="9" t="str">
        <v>41-001</v>
      </c>
      <c r="B349" s="9" t="str">
        <v>Output</v>
      </c>
      <c r="C349" s="9" t="str">
        <v>Product</v>
      </c>
      <c r="D349" s="9" t="str">
        <v>Output - Product</v>
      </c>
      <c r="E349" s="9" t="str">
        <v>x</v>
      </c>
      <c r="F349" s="9">
        <v>0</v>
      </c>
      <c r="G349" s="9" t="str">
        <v>Profit</v>
      </c>
      <c r="H349" s="9" t="str">
        <v>Economic - Profit</v>
      </c>
      <c r="I349" s="12" t="str">
        <v>Production output</v>
      </c>
      <c r="J349" s="9" t="str">
        <v>This indicator measures the total production output, by number per product type.</v>
      </c>
      <c r="K349" s="9" t="str">
        <v>Quantitative</v>
      </c>
      <c r="L349" s="9" t="str">
        <v>#</v>
      </c>
      <c r="M349" s="9" t="str">
        <v>-</v>
      </c>
      <c r="N349" s="9">
        <v>4</v>
      </c>
      <c r="O349" s="9" t="str">
        <v>Favi et al. 2017; Jiang et al. 2018; Lee et al. 2014; Paju et al. 2011</v>
      </c>
      <c r="P349" s="9" t="str">
        <v>Company; Factory; Production line; Process</v>
      </c>
      <c r="Q349" s="9" t="str">
        <v>25 Manufacture of fabricated metal products, except machinery and equipment; 27 Manufacture of electrical equipment; 28 Manufacture of machinery and equipment n.e.c.; 29 Manufacture of motor vehicles, trailers and semi-trailers; 30 Manufacture of other transport equipment</v>
      </c>
      <c r="R349" s="9" t="str">
        <v>Original forming; Transforming; Separating; Joining; Coating and finishing; not specified</v>
      </c>
      <c r="S349" s="9" t="str">
        <v>not specified</v>
      </c>
    </row>
    <row r="350" spans="1:19" ht="51.5" customHeight="1" x14ac:dyDescent="0.35">
      <c r="A350" s="9" t="str">
        <v>41-002</v>
      </c>
      <c r="B350" s="9" t="str">
        <v>Output</v>
      </c>
      <c r="C350" s="9" t="str">
        <v>Product</v>
      </c>
      <c r="D350" s="9" t="str">
        <v>Output - Product</v>
      </c>
      <c r="E350" s="9" t="str">
        <v>x</v>
      </c>
      <c r="F350" s="9">
        <v>0</v>
      </c>
      <c r="G350" s="9" t="str">
        <v>Other</v>
      </c>
      <c r="H350" s="9" t="str">
        <v>Economic - Other</v>
      </c>
      <c r="I350" s="12" t="str">
        <v>Quality of products</v>
      </c>
      <c r="J350" s="9" t="str">
        <v>This indicator measures the total number of products that meet customer/ specification requirements.</v>
      </c>
      <c r="K350" s="9" t="str">
        <v>Quantitative</v>
      </c>
      <c r="L350" s="9" t="str">
        <v>#</v>
      </c>
      <c r="M350" s="9" t="str">
        <v>-</v>
      </c>
      <c r="N350" s="9">
        <v>6</v>
      </c>
      <c r="O350" s="9" t="str">
        <v>Amrina &amp; Yusof 2011; Cagno et al. 2019; Mengistu &amp; Panizzolo 2021; Mengistu &amp; Panizzolo 2023a; Mengistu &amp; Panizzolo 2023b; Moldavska &amp; Welo 2018</v>
      </c>
      <c r="P350" s="9" t="str">
        <v>Company</v>
      </c>
      <c r="Q350" s="9" t="str">
        <v>13 Manufacture of textiles; 15 Manufacture of leather and related products; 22 Manufacture of rubber and plastic products; 24 Manufacture of basic metals; 28 Manufacture of machinery and equipment n.e.c.; 29 Manufacture of motor vehicles, trailers and semi-trailers; 31 Manufacture of furniture; not specified</v>
      </c>
      <c r="R350" s="9" t="str">
        <v>not specified</v>
      </c>
      <c r="S350" s="9" t="str">
        <v>Small; Medium; Large; not specified</v>
      </c>
    </row>
    <row r="351" spans="1:19" ht="51.5" customHeight="1" x14ac:dyDescent="0.35">
      <c r="A351" s="9" t="str">
        <v>41-003</v>
      </c>
      <c r="B351" s="9" t="str">
        <v>Output</v>
      </c>
      <c r="C351" s="9" t="str">
        <v>Product</v>
      </c>
      <c r="D351" s="9" t="str">
        <v>Output - Product</v>
      </c>
      <c r="E351" s="9">
        <v>0</v>
      </c>
      <c r="F351" s="9" t="str">
        <v>x</v>
      </c>
      <c r="G351" s="9" t="str">
        <v>Resource Use &amp; Circular Economy</v>
      </c>
      <c r="H351" s="9" t="str">
        <v>Environmental - Resource Use &amp; Circular Economy</v>
      </c>
      <c r="I351" s="12" t="str">
        <v>Product rejects</v>
      </c>
      <c r="J351" s="9" t="str">
        <v>This indicator measures the total number of products that do not meet customer/ specification requirements.</v>
      </c>
      <c r="K351" s="9" t="str">
        <v>Quantitative</v>
      </c>
      <c r="L351" s="9" t="str">
        <v>#</v>
      </c>
      <c r="M351" s="9" t="str">
        <v>-</v>
      </c>
      <c r="N351" s="9">
        <v>1</v>
      </c>
      <c r="O351" s="9" t="str">
        <v>Singh et al. 2007b</v>
      </c>
      <c r="P351" s="9" t="str">
        <v>Process</v>
      </c>
      <c r="Q351" s="9" t="str">
        <v>29 Manufacture of motor vehicles, trailers and semi-trailers</v>
      </c>
      <c r="R351" s="9" t="str">
        <v>Original forming; Separating; Change of material properties</v>
      </c>
      <c r="S351" s="9" t="str">
        <v>not specified</v>
      </c>
    </row>
    <row r="352" spans="1:19" ht="51.5" customHeight="1" x14ac:dyDescent="0.35">
      <c r="A352" s="9" t="str">
        <v>41-004</v>
      </c>
      <c r="B352" s="9" t="str">
        <v>Output</v>
      </c>
      <c r="C352" s="9" t="str">
        <v>Product</v>
      </c>
      <c r="D352" s="9" t="str">
        <v>Output - Product</v>
      </c>
      <c r="E352" s="9">
        <v>0</v>
      </c>
      <c r="F352" s="9" t="str">
        <v>x</v>
      </c>
      <c r="G352" s="9" t="str">
        <v>Resource Use &amp; Circular Economy</v>
      </c>
      <c r="H352" s="9" t="str">
        <v>Environmental - Resource Use &amp; Circular Economy</v>
      </c>
      <c r="I352" s="12" t="str">
        <v>Percent of defective products</v>
      </c>
      <c r="J352" s="9" t="str">
        <v>This indicator measures the number of defective products to the number of manufactured products.</v>
      </c>
      <c r="K352" s="9" t="str">
        <v>Quantitative</v>
      </c>
      <c r="L352" s="9" t="str">
        <v>%</v>
      </c>
      <c r="M352" s="9" t="str">
        <v>-</v>
      </c>
      <c r="N352" s="9">
        <v>4</v>
      </c>
      <c r="O352" s="9" t="str">
        <v>Amrina &amp; Yusof 2011; Kravchenko et al. 2019; Tan et al. 2015; ISO14031</v>
      </c>
      <c r="P352" s="9" t="str">
        <v>Company; Factory</v>
      </c>
      <c r="Q352" s="9" t="str">
        <v>13 Manufacture of textiles; 28 Manufacture of machinery and equipment n.e.c.; 29 Manufacture of motor vehicles, trailers and semi-trailers; 31 Manufacture of furniture; not specified</v>
      </c>
      <c r="R352" s="9" t="str">
        <v>not specified</v>
      </c>
      <c r="S352" s="9" t="str">
        <v>Micro; Small; Medium; Large; not specified</v>
      </c>
    </row>
    <row r="353" spans="1:19" ht="51.5" customHeight="1" x14ac:dyDescent="0.35">
      <c r="A353" s="9" t="str">
        <v>41-005</v>
      </c>
      <c r="B353" s="9" t="str">
        <v>Output</v>
      </c>
      <c r="C353" s="9" t="str">
        <v>Product</v>
      </c>
      <c r="D353" s="9" t="str">
        <v>Output - Product</v>
      </c>
      <c r="E353" s="9" t="str">
        <v>x</v>
      </c>
      <c r="F353" s="9">
        <v>0</v>
      </c>
      <c r="G353" s="9" t="str">
        <v>Profit</v>
      </c>
      <c r="H353" s="9" t="str">
        <v>Economic - Profit</v>
      </c>
      <c r="I353" s="12" t="str">
        <v>Acceptance rate of product</v>
      </c>
      <c r="J353" s="9" t="str">
        <v>This indicator measures the ratio of products produced minus products rejected to products produced.</v>
      </c>
      <c r="K353" s="9" t="str">
        <v>Quantitative</v>
      </c>
      <c r="L353" s="9" t="str">
        <v>%</v>
      </c>
      <c r="M353" s="9" t="str">
        <v>-</v>
      </c>
      <c r="N353" s="9">
        <v>2</v>
      </c>
      <c r="O353" s="9" t="str">
        <v>Swarnakar et al. 2021; Swarnakar et al. 2022</v>
      </c>
      <c r="P353" s="9" t="str">
        <v>Process</v>
      </c>
      <c r="Q353" s="9" t="str">
        <v>28 Manufacture of machinery and equipment n.e.c.; 29 Manufacture of motor vehicles, trailers and semi-trailers; not specified</v>
      </c>
      <c r="R353" s="9" t="str">
        <v>Transforming; Separating; Coating and finishing; Change of material properties; not specified</v>
      </c>
      <c r="S353" s="9" t="str">
        <v>not specified</v>
      </c>
    </row>
    <row r="354" spans="1:19" ht="51.5" customHeight="1" x14ac:dyDescent="0.35">
      <c r="A354" s="9" t="str">
        <v>41-006</v>
      </c>
      <c r="B354" s="9" t="str">
        <v>Output</v>
      </c>
      <c r="C354" s="9" t="str">
        <v>Product</v>
      </c>
      <c r="D354" s="9" t="str">
        <v>Output - Product</v>
      </c>
      <c r="E354" s="9" t="str">
        <v>x</v>
      </c>
      <c r="F354" s="9">
        <v>0</v>
      </c>
      <c r="G354" s="9" t="str">
        <v>Profit</v>
      </c>
      <c r="H354" s="9" t="str">
        <v>Economic - Profit</v>
      </c>
      <c r="I354" s="12" t="str">
        <v>Number of customers</v>
      </c>
      <c r="J354" s="9" t="str">
        <v>This indicator measures the total number of customers.</v>
      </c>
      <c r="K354" s="9" t="str">
        <v>Quantitative</v>
      </c>
      <c r="L354" s="9" t="str">
        <v>#</v>
      </c>
      <c r="M354" s="9" t="str">
        <v>-</v>
      </c>
      <c r="N354" s="9">
        <v>1</v>
      </c>
      <c r="O354" s="9" t="str">
        <v>Winroth et al. 2016</v>
      </c>
      <c r="P354" s="9" t="str">
        <v>Factory</v>
      </c>
      <c r="Q354" s="9" t="str">
        <v>not specified</v>
      </c>
      <c r="R354" s="9" t="str">
        <v>not specified</v>
      </c>
      <c r="S354" s="9" t="str">
        <v>Small; Medium</v>
      </c>
    </row>
    <row r="355" spans="1:19" ht="51.5" customHeight="1" x14ac:dyDescent="0.35">
      <c r="A355" s="9" t="str">
        <v>41-007</v>
      </c>
      <c r="B355" s="9" t="str">
        <v>Output</v>
      </c>
      <c r="C355" s="9" t="str">
        <v>Product</v>
      </c>
      <c r="D355" s="9" t="str">
        <v>Output - Product</v>
      </c>
      <c r="E355" s="9" t="str">
        <v>x</v>
      </c>
      <c r="F355" s="9">
        <v>0</v>
      </c>
      <c r="G355" s="9" t="str">
        <v>Profit</v>
      </c>
      <c r="H355" s="9" t="str">
        <v>Economic - Profit</v>
      </c>
      <c r="I355" s="12" t="str">
        <v>Number of new customers</v>
      </c>
      <c r="J355" s="9" t="str">
        <v>This indicator measures the number of new customers.</v>
      </c>
      <c r="K355" s="9" t="str">
        <v>Quantitative</v>
      </c>
      <c r="L355" s="9" t="str">
        <v>#</v>
      </c>
      <c r="M355" s="9" t="str">
        <v>-</v>
      </c>
      <c r="N355" s="9">
        <v>1</v>
      </c>
      <c r="O355" s="9" t="str">
        <v>Winroth et al. 2016</v>
      </c>
      <c r="P355" s="9" t="str">
        <v>Factory</v>
      </c>
      <c r="Q355" s="9" t="str">
        <v>not specified</v>
      </c>
      <c r="R355" s="9" t="str">
        <v>not specified</v>
      </c>
      <c r="S355" s="9" t="str">
        <v>Small; Medium</v>
      </c>
    </row>
    <row r="356" spans="1:19" ht="51.5" customHeight="1" x14ac:dyDescent="0.35">
      <c r="A356" s="9" t="str">
        <v>41-008</v>
      </c>
      <c r="B356" s="9" t="str">
        <v>Output</v>
      </c>
      <c r="C356" s="9" t="str">
        <v>Product</v>
      </c>
      <c r="D356" s="9" t="str">
        <v>Output - Product</v>
      </c>
      <c r="E356" s="9" t="str">
        <v>x</v>
      </c>
      <c r="F356" s="9">
        <v>0</v>
      </c>
      <c r="G356" s="9" t="str">
        <v>Profit</v>
      </c>
      <c r="H356" s="9" t="str">
        <v>Economic - Profit</v>
      </c>
      <c r="I356" s="12" t="str">
        <v>Customer retention rate</v>
      </c>
      <c r="J356" s="9" t="str">
        <v>This indicator measures the rate of retained customers.</v>
      </c>
      <c r="K356" s="9" t="str">
        <v>Quantitative</v>
      </c>
      <c r="L356" s="9" t="str">
        <v>%</v>
      </c>
      <c r="M356" s="9" t="str">
        <v>-</v>
      </c>
      <c r="N356" s="9">
        <v>1</v>
      </c>
      <c r="O356" s="9" t="str">
        <v>Chung et al. 2016</v>
      </c>
      <c r="P356" s="9" t="str">
        <v>Company</v>
      </c>
      <c r="Q356" s="9" t="str">
        <v>30 Manufacture of other transport equipment</v>
      </c>
      <c r="R356" s="9" t="str">
        <v>not specified</v>
      </c>
      <c r="S356" s="9" t="str">
        <v>not specified</v>
      </c>
    </row>
    <row r="357" spans="1:19" ht="51.5" customHeight="1" x14ac:dyDescent="0.35">
      <c r="A357" s="9" t="str">
        <v>41-009</v>
      </c>
      <c r="B357" s="9" t="str">
        <v>Output</v>
      </c>
      <c r="C357" s="9" t="str">
        <v>Product</v>
      </c>
      <c r="D357" s="9" t="str">
        <v>Output - Product</v>
      </c>
      <c r="E357" s="9" t="str">
        <v>x</v>
      </c>
      <c r="F357" s="9">
        <v>0</v>
      </c>
      <c r="G357" s="9" t="str">
        <v>Other</v>
      </c>
      <c r="H357" s="9" t="str">
        <v>Economic - Other</v>
      </c>
      <c r="I357" s="12" t="str">
        <v>Customer complaints</v>
      </c>
      <c r="J357" s="9" t="str">
        <v>This indicator measures the number of customer complaints.</v>
      </c>
      <c r="K357" s="9" t="str">
        <v>Quantitative</v>
      </c>
      <c r="L357" s="9" t="str">
        <v>#</v>
      </c>
      <c r="M357" s="9" t="str">
        <v>-</v>
      </c>
      <c r="N357" s="9">
        <v>2</v>
      </c>
      <c r="O357" s="9" t="str">
        <v>Amrina &amp; Yusof 2011; Winroth et al. 2016</v>
      </c>
      <c r="P357" s="9" t="str">
        <v>Company; Factory</v>
      </c>
      <c r="Q357" s="9" t="str">
        <v>29 Manufacture of motor vehicles, trailers and semi-trailers; not specified</v>
      </c>
      <c r="R357" s="9" t="str">
        <v>not specified</v>
      </c>
      <c r="S357" s="9" t="str">
        <v>Small; Medium; not specified</v>
      </c>
    </row>
    <row r="358" spans="1:19" ht="51.5" customHeight="1" x14ac:dyDescent="0.35">
      <c r="A358" s="9" t="str">
        <v>41-010</v>
      </c>
      <c r="B358" s="9" t="str">
        <v>Output</v>
      </c>
      <c r="C358" s="9" t="str">
        <v>Product</v>
      </c>
      <c r="D358" s="9" t="str">
        <v>Output - Product</v>
      </c>
      <c r="E358" s="9">
        <v>0</v>
      </c>
      <c r="F358" s="9" t="str">
        <v>x</v>
      </c>
      <c r="G358" s="9" t="str">
        <v>Resource Use &amp; Circular Economy</v>
      </c>
      <c r="H358" s="9" t="str">
        <v>Environmental - Resource Use &amp; Circular Economy</v>
      </c>
      <c r="I358" s="12" t="str">
        <v>Percentage of product EOL recovered</v>
      </c>
      <c r="J358" s="9" t="str">
        <v>This indicator measures the percentage of products that were recovered at end-of-life.</v>
      </c>
      <c r="K358" s="9" t="str">
        <v>Quantitative</v>
      </c>
      <c r="L358" s="9" t="str">
        <v>%</v>
      </c>
      <c r="M358" s="9" t="str">
        <v>301-3</v>
      </c>
      <c r="N358" s="9">
        <v>2</v>
      </c>
      <c r="O358" s="9" t="str">
        <v>Huang &amp; Badurdeen 2017; Huang &amp; Badurdeen 2018</v>
      </c>
      <c r="P358" s="9" t="str">
        <v>Company; Factory; Production line</v>
      </c>
      <c r="Q358" s="9" t="str">
        <v>26 Manufacture of computer, electronic and optical products</v>
      </c>
      <c r="R358" s="9" t="str">
        <v>Original forming; Joining; Coating and finishing; Change of material properties</v>
      </c>
      <c r="S358" s="9" t="str">
        <v>not specified</v>
      </c>
    </row>
    <row r="359" spans="1:19" ht="51.5" customHeight="1" x14ac:dyDescent="0.35">
      <c r="A359" s="9" t="str">
        <v>41-011</v>
      </c>
      <c r="B359" s="9" t="str">
        <v>Output</v>
      </c>
      <c r="C359" s="9" t="str">
        <v>Product</v>
      </c>
      <c r="D359" s="9" t="str">
        <v>Output - Product</v>
      </c>
      <c r="E359" s="9">
        <v>0</v>
      </c>
      <c r="F359" s="9" t="str">
        <v>x</v>
      </c>
      <c r="G359" s="9" t="str">
        <v>Resource Use &amp; Circular Economy</v>
      </c>
      <c r="H359" s="9" t="str">
        <v>Environmental - Resource Use &amp; Circular Economy</v>
      </c>
      <c r="I359" s="12" t="str">
        <v>Percentage of products landfilled</v>
      </c>
      <c r="J359" s="9" t="str">
        <v>This indicator measures the percentage of products that were landfilled (not recovered).</v>
      </c>
      <c r="K359" s="9" t="str">
        <v>Quantitative</v>
      </c>
      <c r="L359" s="9" t="str">
        <v>%</v>
      </c>
      <c r="M359" s="9" t="str">
        <v>-</v>
      </c>
      <c r="N359" s="9">
        <v>1</v>
      </c>
      <c r="O359" s="9" t="str">
        <v>Huang &amp; Badurdeen 2017</v>
      </c>
      <c r="P359" s="9" t="str">
        <v>Company</v>
      </c>
      <c r="Q359" s="9" t="str">
        <v>26 Manufacture of computer, electronic and optical products</v>
      </c>
      <c r="R359" s="9" t="str">
        <v>Original forming; Joining; Coating and finishing; Change of material properties</v>
      </c>
      <c r="S359" s="9" t="str">
        <v>not specified</v>
      </c>
    </row>
    <row r="360" spans="1:19" ht="51.5" customHeight="1" x14ac:dyDescent="0.35">
      <c r="A360" s="9" t="str">
        <v>41-012</v>
      </c>
      <c r="B360" s="9" t="str">
        <v>Output</v>
      </c>
      <c r="C360" s="9" t="str">
        <v>Product</v>
      </c>
      <c r="D360" s="9" t="str">
        <v>Output - Product</v>
      </c>
      <c r="E360" s="9" t="str">
        <v>x</v>
      </c>
      <c r="F360" s="9">
        <v>0</v>
      </c>
      <c r="G360" s="9" t="str">
        <v>Cost</v>
      </c>
      <c r="H360" s="9" t="str">
        <v>Economic - Cost</v>
      </c>
      <c r="I360" s="12" t="str">
        <v>Cost of transportation in reverse supply chain</v>
      </c>
      <c r="J360" s="9" t="str">
        <v>This indicator measures the cost of transportation in the reverse supply chain, i.e., the cost of collection and transporting products at end-of-life.</v>
      </c>
      <c r="K360" s="9" t="str">
        <v>Quantitative</v>
      </c>
      <c r="L360" s="9" t="str">
        <v>€</v>
      </c>
      <c r="M360" s="9" t="str">
        <v>-</v>
      </c>
      <c r="N360" s="9">
        <v>1</v>
      </c>
      <c r="O360" s="9" t="str">
        <v>Kravchenko et al. 2019</v>
      </c>
      <c r="P360" s="9" t="str">
        <v>Company</v>
      </c>
      <c r="Q360" s="9" t="str">
        <v>13 Manufacture of textiles; 28 Manufacture of machinery and equipment n.e.c.; 31 Manufacture of furniture</v>
      </c>
      <c r="R360" s="9" t="str">
        <v>not specified</v>
      </c>
      <c r="S360" s="9" t="str">
        <v>Micro; Large</v>
      </c>
    </row>
    <row r="361" spans="1:19" ht="51.5" customHeight="1" x14ac:dyDescent="0.35">
      <c r="A361" s="9" t="str">
        <v>42-001</v>
      </c>
      <c r="B361" s="9" t="str">
        <v>Output</v>
      </c>
      <c r="C361" s="9" t="str">
        <v>Waste</v>
      </c>
      <c r="D361" s="9" t="str">
        <v>Output - Waste</v>
      </c>
      <c r="E361" s="9">
        <v>0</v>
      </c>
      <c r="F361" s="9" t="str">
        <v>x</v>
      </c>
      <c r="G361" s="9" t="str">
        <v>Resource Use &amp; Circular Economy</v>
      </c>
      <c r="H361" s="9" t="str">
        <v>Environmental - Resource Use &amp; Circular Economy</v>
      </c>
      <c r="I361" s="12" t="str">
        <v>Total waste</v>
      </c>
      <c r="J361" s="9" t="str">
        <v>This indicator measures the total waste. It can be measured as total or by type.</v>
      </c>
      <c r="K361" s="9" t="str">
        <v>Quantitative</v>
      </c>
      <c r="L361" s="9" t="str">
        <v>unit of mass</v>
      </c>
      <c r="M361" s="9" t="str">
        <v>306-3 (Waste 2020)</v>
      </c>
      <c r="N361" s="9">
        <v>13</v>
      </c>
      <c r="O361" s="9" t="str">
        <v>Barni et al. 2022; Dočekalová &amp; Kocmanová 2016; Gani et al. 2021; Lee et al. 2014; Madanchi et al. 2019; Mengistu &amp; Panizzolo 2023a; Moldavska &amp; Welo 2018; Rahdari &amp; Anvary Rostamy 2015; Song &amp; Moon 2019; Taddese et al. 2020; Winroth et al. 2016; Zarte et al. 2019; EMAS</v>
      </c>
      <c r="P361" s="9" t="str">
        <v>Company; Factory; Production line; Process</v>
      </c>
      <c r="Q361" s="9" t="str">
        <v>22 Manufacture of rubber and plastic products; 26 Manufacture of computer, electronic and optical products; 27 Manufacture of electrical equipment; 28 Manufacture of machinery and equipment n.e.c.; 29 Manufacture of motor vehicles, trailers and semi-trailers; 30 Manufacture of other transport equipment; not specified</v>
      </c>
      <c r="R361" s="9" t="str">
        <v>Original forming; Transforming; Joining; not specified</v>
      </c>
      <c r="S361" s="9" t="str">
        <v>Small; Medium; Large; not specified</v>
      </c>
    </row>
    <row r="362" spans="1:19" ht="51.5" customHeight="1" x14ac:dyDescent="0.35">
      <c r="A362" s="9" t="str">
        <v>42-002</v>
      </c>
      <c r="B362" s="9" t="str">
        <v>Output</v>
      </c>
      <c r="C362" s="9" t="str">
        <v>Waste</v>
      </c>
      <c r="D362" s="9" t="str">
        <v>Output - Waste</v>
      </c>
      <c r="E362" s="9">
        <v>0</v>
      </c>
      <c r="F362" s="9" t="str">
        <v>x</v>
      </c>
      <c r="G362" s="9" t="str">
        <v>Resource Use &amp; Circular Economy</v>
      </c>
      <c r="H362" s="9" t="str">
        <v>Environmental - Resource Use &amp; Circular Economy</v>
      </c>
      <c r="I362" s="12" t="str">
        <v>Waste intensity</v>
      </c>
      <c r="J362" s="9" t="str">
        <v>This indicator measures the ratio of total waste to a normalization factor (NF). The NF can, e.g., be the number of units produced.</v>
      </c>
      <c r="K362" s="9" t="str">
        <v>Quantitative</v>
      </c>
      <c r="L362" s="9" t="str">
        <v>kg/NF</v>
      </c>
      <c r="M362" s="9" t="str">
        <v>-</v>
      </c>
      <c r="N362" s="9">
        <v>12</v>
      </c>
      <c r="O362" s="9" t="str">
        <v>Barni et al. 2022; Huang &amp; Badurdeen 2017; Huang &amp; Badurdeen 2018; Kaldas et al. 2021; Kocmanová et al. 2015; Linke et al. 2013; Rao et al. 2006; Rao et al. 2006; Saxena et al. 2020; Vimal et al. 2015; OECD; ISO14031</v>
      </c>
      <c r="P362" s="9" t="str">
        <v>Company; Factory; Production line; Work cell; Process</v>
      </c>
      <c r="Q362" s="9" t="str">
        <v>13 Manufacture of textiles; 22 Manufacture of rubber and plastic products; 24 Manufacture of basic metals; 25 Manufacture of fabricated metal products, except machinery and equipment; 26 Manufacture of computer, electronic and optical products; 27 Manufacture of electrical equipment; 28 Manufacture of machinery and equipment n.e.c.; 29 Manufacture of motor vehicles, trailers and semi-trailers; 31 Manufacture of furniture; 32 Other manufacturing; not specified</v>
      </c>
      <c r="R362" s="9" t="str">
        <v>Original forming; Separating; Joining; Coating and finishing; Change of material properties; not specified</v>
      </c>
      <c r="S362" s="9" t="str">
        <v>Small; Medium; Large; not specified</v>
      </c>
    </row>
    <row r="363" spans="1:19" ht="51.5" customHeight="1" x14ac:dyDescent="0.35">
      <c r="A363" s="9" t="str">
        <v>42-003</v>
      </c>
      <c r="B363" s="9" t="str">
        <v>Output</v>
      </c>
      <c r="C363" s="9" t="str">
        <v>Waste</v>
      </c>
      <c r="D363" s="9" t="str">
        <v>Output - Waste</v>
      </c>
      <c r="E363" s="9">
        <v>0</v>
      </c>
      <c r="F363" s="9" t="str">
        <v>x</v>
      </c>
      <c r="G363" s="9" t="str">
        <v>Resource Use &amp; Circular Economy</v>
      </c>
      <c r="H363" s="9" t="str">
        <v>Environmental - Resource Use &amp; Circular Economy</v>
      </c>
      <c r="I363" s="12" t="str">
        <v>Waste controlled by permits</v>
      </c>
      <c r="J363" s="9" t="str">
        <v>This indicator quantifies the waste generated in the manufacturing process controlled by permits.</v>
      </c>
      <c r="K363" s="9" t="str">
        <v>Quantitative</v>
      </c>
      <c r="L363" s="9" t="str">
        <v>unit of mass</v>
      </c>
      <c r="M363" s="9" t="str">
        <v>-</v>
      </c>
      <c r="N363" s="9">
        <v>3</v>
      </c>
      <c r="O363" s="9" t="str">
        <v>Faulkner &amp; Badurdeen 2014; Kravchenko et al. 2019; ISO14031</v>
      </c>
      <c r="P363" s="9" t="str">
        <v>Company; Factory; Process</v>
      </c>
      <c r="Q363" s="9" t="str">
        <v>13 Manufacture of textiles; 26 Manufacture of computer, electronic and optical products; 28 Manufacture of machinery and equipment n.e.c.; 31 Manufacture of furniture; not specified</v>
      </c>
      <c r="R363" s="9" t="str">
        <v>Original forming; Joining; Coating and finishing; Change of material properties; not specified</v>
      </c>
      <c r="S363" s="9" t="str">
        <v>Micro; Large; not specified</v>
      </c>
    </row>
    <row r="364" spans="1:19" ht="51.5" customHeight="1" x14ac:dyDescent="0.35">
      <c r="A364" s="9" t="str">
        <v>42-004</v>
      </c>
      <c r="B364" s="9" t="str">
        <v>Output</v>
      </c>
      <c r="C364" s="9" t="str">
        <v>Waste</v>
      </c>
      <c r="D364" s="9" t="str">
        <v>Output - Waste</v>
      </c>
      <c r="E364" s="9">
        <v>0</v>
      </c>
      <c r="F364" s="9" t="str">
        <v>x</v>
      </c>
      <c r="G364" s="9" t="str">
        <v>Resource Use &amp; Circular Economy</v>
      </c>
      <c r="H364" s="9" t="str">
        <v>Environmental - Resource Use &amp; Circular Economy</v>
      </c>
      <c r="I364" s="12" t="str">
        <v>Waste segregated percentual</v>
      </c>
      <c r="J364" s="9" t="str">
        <v>This indicator measures the amount of waste that was segregated to the amount of waste generated.</v>
      </c>
      <c r="K364" s="9" t="str">
        <v>Quantitative</v>
      </c>
      <c r="L364" s="9" t="str">
        <v>%</v>
      </c>
      <c r="M364" s="9" t="str">
        <v>-</v>
      </c>
      <c r="N364" s="9">
        <v>3</v>
      </c>
      <c r="O364" s="9" t="str">
        <v>Helleno et al. 2017; Swarnakar et al. 2021; Swarnakar et al. 2022</v>
      </c>
      <c r="P364" s="9" t="str">
        <v>Production line; Process</v>
      </c>
      <c r="Q364" s="9" t="str">
        <v>22 Manufacture of rubber and plastic products; 28 Manufacture of machinery and equipment n.e.c.; 29 Manufacture of motor vehicles, trailers and semi-trailers; not specified</v>
      </c>
      <c r="R364" s="9" t="str">
        <v>Original forming; Transforming; Separating; Coating and finishing; Change of material properties; not specified</v>
      </c>
      <c r="S364" s="9" t="str">
        <v>not specified</v>
      </c>
    </row>
    <row r="365" spans="1:19" ht="51.5" customHeight="1" x14ac:dyDescent="0.35">
      <c r="A365" s="9" t="str">
        <v>42-005</v>
      </c>
      <c r="B365" s="9" t="str">
        <v>Output</v>
      </c>
      <c r="C365" s="9" t="str">
        <v>Waste</v>
      </c>
      <c r="D365" s="9" t="str">
        <v>Output - Waste</v>
      </c>
      <c r="E365" s="9">
        <v>0</v>
      </c>
      <c r="F365" s="9" t="str">
        <v>x</v>
      </c>
      <c r="G365" s="9" t="str">
        <v>Resource Use &amp; Circular Economy</v>
      </c>
      <c r="H365" s="9" t="str">
        <v>Environmental - Resource Use &amp; Circular Economy</v>
      </c>
      <c r="I365" s="12" t="str">
        <v>Waste stored on site</v>
      </c>
      <c r="J365" s="9" t="str">
        <v>This indicator quantifies the amount of waste generated in the manufacturing process stored on site.</v>
      </c>
      <c r="K365" s="9" t="str">
        <v>Quantitative</v>
      </c>
      <c r="L365" s="9" t="str">
        <v>unit of mass</v>
      </c>
      <c r="M365" s="9" t="str">
        <v>-</v>
      </c>
      <c r="N365" s="9">
        <v>2</v>
      </c>
      <c r="O365" s="9" t="str">
        <v>Kravchenko et al. 2019; ISO14031</v>
      </c>
      <c r="P365" s="9" t="str">
        <v>Company; Factory</v>
      </c>
      <c r="Q365" s="9" t="str">
        <v>13 Manufacture of textiles; 28 Manufacture of machinery and equipment n.e.c.; 31 Manufacture of furniture; not specified</v>
      </c>
      <c r="R365" s="9" t="str">
        <v>not specified</v>
      </c>
      <c r="S365" s="9" t="str">
        <v>Micro; Large; not specified</v>
      </c>
    </row>
    <row r="366" spans="1:19" ht="51.5" customHeight="1" x14ac:dyDescent="0.35">
      <c r="A366" s="9" t="str">
        <v>42-006</v>
      </c>
      <c r="B366" s="9" t="str">
        <v>Output</v>
      </c>
      <c r="C366" s="9" t="str">
        <v>Waste</v>
      </c>
      <c r="D366" s="9" t="str">
        <v>Output - Waste</v>
      </c>
      <c r="E366" s="9">
        <v>0</v>
      </c>
      <c r="F366" s="9" t="str">
        <v>x</v>
      </c>
      <c r="G366" s="9" t="str">
        <v>Resource Use &amp; Circular Economy</v>
      </c>
      <c r="H366" s="9" t="str">
        <v>Environmental - Resource Use &amp; Circular Economy</v>
      </c>
      <c r="I366" s="12" t="str">
        <v>Waste diverted from disposal</v>
      </c>
      <c r="J366" s="9" t="str">
        <v xml:space="preserve">This indicator measures the total weight of waste diverted from disposal. It can also be measured as a breakdown of this total by the composition of the waste.
</v>
      </c>
      <c r="K366" s="9" t="str">
        <v>Quantitative</v>
      </c>
      <c r="L366" s="9" t="str">
        <v>unit of mass</v>
      </c>
      <c r="M366" s="9" t="str">
        <v>306-4</v>
      </c>
      <c r="N366" s="9">
        <v>1</v>
      </c>
      <c r="O366" s="9" t="str">
        <v>Helleno et al. 2017</v>
      </c>
      <c r="P366" s="9" t="str">
        <v>Production line; Process</v>
      </c>
      <c r="Q366" s="9" t="str">
        <v>22 Manufacture of rubber and plastic products</v>
      </c>
      <c r="R366" s="9" t="str">
        <v>Original forming; Transforming; Separating; Coating and finishing</v>
      </c>
      <c r="S366" s="9" t="str">
        <v>not specified</v>
      </c>
    </row>
    <row r="367" spans="1:19" ht="51.5" customHeight="1" x14ac:dyDescent="0.35">
      <c r="A367" s="9" t="str">
        <v>42-007</v>
      </c>
      <c r="B367" s="9" t="str">
        <v>Output</v>
      </c>
      <c r="C367" s="9" t="str">
        <v>Waste</v>
      </c>
      <c r="D367" s="9" t="str">
        <v>Output - Waste</v>
      </c>
      <c r="E367" s="9" t="str">
        <v>x</v>
      </c>
      <c r="F367" s="9">
        <v>0</v>
      </c>
      <c r="G367" s="9" t="str">
        <v>Cost</v>
      </c>
      <c r="H367" s="9" t="str">
        <v>Economic - Cost</v>
      </c>
      <c r="I367" s="12" t="str">
        <v>Cost of disposal</v>
      </c>
      <c r="J367" s="9" t="str">
        <v xml:space="preserve">This indicator measures the costs associated with waste disposal and is expressed as a function of the number of disposed items and the corresponding unit disposal cost. </v>
      </c>
      <c r="K367" s="9" t="str">
        <v>Quantitative</v>
      </c>
      <c r="L367" s="9" t="str">
        <v>€</v>
      </c>
      <c r="M367" s="9" t="str">
        <v>-</v>
      </c>
      <c r="N367" s="9">
        <v>2</v>
      </c>
      <c r="O367" s="9" t="str">
        <v>Huang &amp; Badurdeen 2018; Kravchenko et al. 2019</v>
      </c>
      <c r="P367" s="9" t="str">
        <v>Company; Factory; Production line</v>
      </c>
      <c r="Q367" s="9" t="str">
        <v>13 Manufacture of textiles; 26 Manufacture of computer, electronic and optical products; 28 Manufacture of machinery and equipment n.e.c.; 31 Manufacture of furniture</v>
      </c>
      <c r="R367" s="9" t="str">
        <v>Original forming; Joining; Coating and finishing; Change of material properties; not specified</v>
      </c>
      <c r="S367" s="9" t="str">
        <v>Micro; Large; not specified</v>
      </c>
    </row>
    <row r="368" spans="1:19" ht="51.5" customHeight="1" x14ac:dyDescent="0.35">
      <c r="A368" s="9" t="str">
        <v>42-008</v>
      </c>
      <c r="B368" s="9" t="str">
        <v>Output</v>
      </c>
      <c r="C368" s="9" t="str">
        <v>Waste</v>
      </c>
      <c r="D368" s="9" t="str">
        <v>Output - Waste</v>
      </c>
      <c r="E368" s="9" t="str">
        <v>x</v>
      </c>
      <c r="F368" s="9">
        <v>0</v>
      </c>
      <c r="G368" s="9" t="str">
        <v>Cost</v>
      </c>
      <c r="H368" s="9" t="str">
        <v>Economic - Cost</v>
      </c>
      <c r="I368" s="12" t="str">
        <v>Liquid waste disposal cost</v>
      </c>
      <c r="J368" s="9" t="str">
        <v>This indicator measures the total costs incurred by the company for disposing liquid waste. It can also be measured as percentage of total production costs.</v>
      </c>
      <c r="K368" s="9" t="str">
        <v>Quantitative</v>
      </c>
      <c r="L368" s="9" t="str">
        <v>€</v>
      </c>
      <c r="M368" s="9" t="str">
        <v>-</v>
      </c>
      <c r="N368" s="9">
        <v>1</v>
      </c>
      <c r="O368" s="9" t="str">
        <v>Kravchenko et al. 2019</v>
      </c>
      <c r="P368" s="9" t="str">
        <v>Company</v>
      </c>
      <c r="Q368" s="9" t="str">
        <v>13 Manufacture of textiles; 28 Manufacture of machinery and equipment n.e.c.; 31 Manufacture of furniture</v>
      </c>
      <c r="R368" s="9" t="str">
        <v>not specified</v>
      </c>
      <c r="S368" s="9" t="str">
        <v>Micro; Large</v>
      </c>
    </row>
    <row r="369" spans="1:19" ht="51.5" customHeight="1" x14ac:dyDescent="0.35">
      <c r="A369" s="9" t="str">
        <v>42-009</v>
      </c>
      <c r="B369" s="9" t="str">
        <v>Output</v>
      </c>
      <c r="C369" s="9" t="str">
        <v>Waste</v>
      </c>
      <c r="D369" s="9" t="str">
        <v>Output - Waste</v>
      </c>
      <c r="E369" s="9" t="str">
        <v>x</v>
      </c>
      <c r="F369" s="9">
        <v>0</v>
      </c>
      <c r="G369" s="9" t="str">
        <v>Cost</v>
      </c>
      <c r="H369" s="9" t="str">
        <v>Economic - Cost</v>
      </c>
      <c r="I369" s="12" t="str">
        <v>Transportation cost from facility to disposal site</v>
      </c>
      <c r="J369" s="9" t="str">
        <v>This indicator measures the total transportation cost from facility to disposal site.</v>
      </c>
      <c r="K369" s="9" t="str">
        <v>Quantitative</v>
      </c>
      <c r="L369" s="9" t="str">
        <v>€</v>
      </c>
      <c r="M369" s="9" t="str">
        <v>-</v>
      </c>
      <c r="N369" s="9">
        <v>1</v>
      </c>
      <c r="O369" s="9" t="str">
        <v>Kravchenko et al. 2019</v>
      </c>
      <c r="P369" s="9" t="str">
        <v>Company</v>
      </c>
      <c r="Q369" s="9" t="str">
        <v>13 Manufacture of textiles; 28 Manufacture of machinery and equipment n.e.c.; 31 Manufacture of furniture</v>
      </c>
      <c r="R369" s="9" t="str">
        <v>not specified</v>
      </c>
      <c r="S369" s="9" t="str">
        <v>Micro; Large</v>
      </c>
    </row>
    <row r="370" spans="1:19" ht="51.5" customHeight="1" x14ac:dyDescent="0.35">
      <c r="A370" s="9" t="str">
        <v>42-010</v>
      </c>
      <c r="B370" s="9" t="str">
        <v>Output</v>
      </c>
      <c r="C370" s="9" t="str">
        <v>Waste</v>
      </c>
      <c r="D370" s="9" t="str">
        <v>Output - Waste</v>
      </c>
      <c r="E370" s="9" t="str">
        <v>x</v>
      </c>
      <c r="F370" s="9">
        <v>0</v>
      </c>
      <c r="G370" s="9" t="str">
        <v>Cost</v>
      </c>
      <c r="H370" s="9" t="str">
        <v>Economic - Cost</v>
      </c>
      <c r="I370" s="12" t="str">
        <v>Transportation cost from facility to recycling plant</v>
      </c>
      <c r="J370" s="9" t="str">
        <v>This indicator measures the total transportation cost from facility to recycling plant.</v>
      </c>
      <c r="K370" s="9" t="str">
        <v>Quantitative</v>
      </c>
      <c r="L370" s="9" t="str">
        <v>€</v>
      </c>
      <c r="M370" s="9" t="str">
        <v>-</v>
      </c>
      <c r="N370" s="9">
        <v>1</v>
      </c>
      <c r="O370" s="9" t="str">
        <v>Kravchenko et al. 2019</v>
      </c>
      <c r="P370" s="9" t="str">
        <v>Company</v>
      </c>
      <c r="Q370" s="9" t="str">
        <v>13 Manufacture of textiles; 28 Manufacture of machinery and equipment n.e.c.; 31 Manufacture of furniture</v>
      </c>
      <c r="R370" s="9" t="str">
        <v>not specified</v>
      </c>
      <c r="S370" s="9" t="str">
        <v>Micro; Large</v>
      </c>
    </row>
    <row r="371" spans="1:19" ht="51.5" customHeight="1" x14ac:dyDescent="0.35">
      <c r="A371" s="9" t="str">
        <v>42-011</v>
      </c>
      <c r="B371" s="9" t="str">
        <v>Output</v>
      </c>
      <c r="C371" s="9" t="str">
        <v>Waste</v>
      </c>
      <c r="D371" s="9" t="str">
        <v>Output - Waste</v>
      </c>
      <c r="E371" s="9" t="str">
        <v>x</v>
      </c>
      <c r="F371" s="9">
        <v>0</v>
      </c>
      <c r="G371" s="9" t="str">
        <v>Cost</v>
      </c>
      <c r="H371" s="9" t="str">
        <v>Economic - Cost</v>
      </c>
      <c r="I371" s="12" t="str">
        <v>Transportation cost from facility to storage location</v>
      </c>
      <c r="J371" s="9" t="str">
        <v>This indicator measures the total transportation cost from facility to storage location.</v>
      </c>
      <c r="K371" s="9" t="str">
        <v>Quantitative</v>
      </c>
      <c r="L371" s="9" t="str">
        <v>€</v>
      </c>
      <c r="M371" s="9" t="str">
        <v>-</v>
      </c>
      <c r="N371" s="9">
        <v>1</v>
      </c>
      <c r="O371" s="9" t="str">
        <v>Kravchenko et al. 2019</v>
      </c>
      <c r="P371" s="9" t="str">
        <v>Company</v>
      </c>
      <c r="Q371" s="9" t="str">
        <v>13 Manufacture of textiles; 28 Manufacture of machinery and equipment n.e.c.; 31 Manufacture of furniture</v>
      </c>
      <c r="R371" s="9" t="str">
        <v>not specified</v>
      </c>
      <c r="S371" s="9" t="str">
        <v>Micro; Large</v>
      </c>
    </row>
    <row r="372" spans="1:19" ht="51.5" customHeight="1" x14ac:dyDescent="0.35">
      <c r="A372" s="9" t="str">
        <v>42-012</v>
      </c>
      <c r="B372" s="9" t="str">
        <v>Output</v>
      </c>
      <c r="C372" s="9" t="str">
        <v>Waste</v>
      </c>
      <c r="D372" s="9" t="str">
        <v>Output - Waste</v>
      </c>
      <c r="E372" s="9">
        <v>0</v>
      </c>
      <c r="F372" s="9" t="str">
        <v>x</v>
      </c>
      <c r="G372" s="9" t="str">
        <v>Resource Use &amp; Circular Economy</v>
      </c>
      <c r="H372" s="9" t="str">
        <v>Environmental - Resource Use &amp; Circular Economy</v>
      </c>
      <c r="I372" s="12" t="str">
        <v>Solid waste</v>
      </c>
      <c r="J372" s="9" t="str">
        <v>This indicator measures the absolute mass of solid waste generated.</v>
      </c>
      <c r="K372" s="9" t="str">
        <v>Quantitative</v>
      </c>
      <c r="L372" s="9" t="str">
        <v>unit of mass</v>
      </c>
      <c r="M372" s="9" t="str">
        <v>-</v>
      </c>
      <c r="N372" s="9">
        <v>16</v>
      </c>
      <c r="O372" s="9" t="str">
        <v>Azapagic &amp; Perdan 2000; Fan et al. 2010; Feil et al. 2019; Fijał 2007; Gani et al. 2021; Huang &amp; Badurdeen 2018; Jiang et al. 2012; Jiang et al. 2018; Kravchenko et al. 2019; Li et al. 2012; Mengistu &amp; Panizzolo 2023a; Park &amp; Kremer 2017; Pinto et al. 2020; Pusporini &amp; Vanany 2019; Rao 2008; Tan et al. 2015</v>
      </c>
      <c r="P372" s="9" t="str">
        <v>Company; Factory; Production line; Process</v>
      </c>
      <c r="Q372" s="9" t="str">
        <v>13 Manufacture of textiles; 25 Manufacture of fabricated metal products, except machinery and equipment; 26 Manufacture of computer, electronic and optical products; 28 Manufacture of machinery and equipment n.e.c.; 29 Manufacture of motor vehicles, trailers and semi-trailers; 30 Manufacture of other transport equipment; 31 Manufacture of furniture; not specified</v>
      </c>
      <c r="R372" s="9" t="str">
        <v>Original forming; Separating; Joining; Coating and finishing; Change of material properties; not specified</v>
      </c>
      <c r="S372" s="9" t="str">
        <v>Micro; Small; Medium; Large; not specified</v>
      </c>
    </row>
    <row r="373" spans="1:19" ht="51.5" customHeight="1" x14ac:dyDescent="0.35">
      <c r="A373" s="9" t="str">
        <v>42-013</v>
      </c>
      <c r="B373" s="9" t="str">
        <v>Output</v>
      </c>
      <c r="C373" s="9" t="str">
        <v>Waste</v>
      </c>
      <c r="D373" s="9" t="str">
        <v>Output - Waste</v>
      </c>
      <c r="E373" s="9">
        <v>0</v>
      </c>
      <c r="F373" s="9" t="str">
        <v>x</v>
      </c>
      <c r="G373" s="9" t="str">
        <v>Resource Use &amp; Circular Economy</v>
      </c>
      <c r="H373" s="9" t="str">
        <v>Environmental - Resource Use &amp; Circular Economy</v>
      </c>
      <c r="I373" s="12" t="str">
        <v>Solid waste intensity</v>
      </c>
      <c r="J373" s="9" t="str">
        <v>This indicator measures the ratio of the mass of solid waste to a normalization factor (NF). The NF can, e.g., be the number of units produced.</v>
      </c>
      <c r="K373" s="9" t="str">
        <v>Quantitative</v>
      </c>
      <c r="L373" s="9" t="str">
        <v>kg/NF</v>
      </c>
      <c r="M373" s="9" t="str">
        <v>-</v>
      </c>
      <c r="N373" s="9">
        <v>2</v>
      </c>
      <c r="O373" s="9" t="str">
        <v>Beekaroo et al. 2019; Kravchenko et al. 2019</v>
      </c>
      <c r="P373" s="9" t="str">
        <v>Company</v>
      </c>
      <c r="Q373" s="9" t="str">
        <v>13 Manufacture of textiles; 28 Manufacture of machinery and equipment n.e.c.; 31 Manufacture of furniture; not specified</v>
      </c>
      <c r="R373" s="9" t="str">
        <v>not specified</v>
      </c>
      <c r="S373" s="9" t="str">
        <v>Micro; Large; not specified</v>
      </c>
    </row>
    <row r="374" spans="1:19" ht="51.5" customHeight="1" x14ac:dyDescent="0.35">
      <c r="A374" s="9" t="str">
        <v>42-014</v>
      </c>
      <c r="B374" s="9" t="str">
        <v>Output</v>
      </c>
      <c r="C374" s="9" t="str">
        <v>Waste</v>
      </c>
      <c r="D374" s="9" t="str">
        <v>Output - Waste</v>
      </c>
      <c r="E374" s="9">
        <v>0</v>
      </c>
      <c r="F374" s="9" t="str">
        <v>x</v>
      </c>
      <c r="G374" s="9" t="str">
        <v>Resource Use &amp; Circular Economy</v>
      </c>
      <c r="H374" s="9" t="str">
        <v>Environmental - Resource Use &amp; Circular Economy</v>
      </c>
      <c r="I374" s="12" t="str">
        <v>Net solid waste generation</v>
      </c>
      <c r="J374" s="9" t="str">
        <v>This indicator measures the net solid waste generated. It can be calculated by the following formula: (solid waste generated - (solid waste recycled + solid waste reused + biodegradable solid waste)) / solid waste generated.</v>
      </c>
      <c r="K374" s="9" t="str">
        <v>Quantitative</v>
      </c>
      <c r="L374" s="9" t="str">
        <v>%</v>
      </c>
      <c r="M374" s="9" t="str">
        <v>-</v>
      </c>
      <c r="N374" s="9">
        <v>2</v>
      </c>
      <c r="O374" s="9" t="str">
        <v>Swarnakar et al. 2021; Swarnakar et al. 2022</v>
      </c>
      <c r="P374" s="9" t="str">
        <v>Process</v>
      </c>
      <c r="Q374" s="9" t="str">
        <v>28 Manufacture of machinery and equipment n.e.c.; 29 Manufacture of motor vehicles, trailers and semi-trailers; not specified</v>
      </c>
      <c r="R374" s="9" t="str">
        <v>Transforming; Separating; Coating and finishing; Change of material properties; not specified</v>
      </c>
      <c r="S374" s="9" t="str">
        <v>not specified</v>
      </c>
    </row>
    <row r="375" spans="1:19" ht="51.5" customHeight="1" x14ac:dyDescent="0.35">
      <c r="A375" s="9" t="str">
        <v>42-015</v>
      </c>
      <c r="B375" s="9" t="str">
        <v>Output</v>
      </c>
      <c r="C375" s="9" t="str">
        <v>Waste</v>
      </c>
      <c r="D375" s="9" t="str">
        <v>Output - Waste</v>
      </c>
      <c r="E375" s="9">
        <v>0</v>
      </c>
      <c r="F375" s="9" t="str">
        <v>x</v>
      </c>
      <c r="G375" s="9" t="str">
        <v>Resource Use &amp; Circular Economy</v>
      </c>
      <c r="H375" s="9" t="str">
        <v>Environmental - Resource Use &amp; Circular Economy</v>
      </c>
      <c r="I375" s="12" t="str">
        <v>Material waste</v>
      </c>
      <c r="J375" s="9" t="str">
        <v>This indicator measures the absolute mass of material waste generated.</v>
      </c>
      <c r="K375" s="9" t="str">
        <v>Quantitative</v>
      </c>
      <c r="L375" s="9" t="str">
        <v>unit of mass</v>
      </c>
      <c r="M375" s="9" t="str">
        <v>-</v>
      </c>
      <c r="N375" s="9">
        <v>3</v>
      </c>
      <c r="O375" s="9" t="str">
        <v>Paju et al. 2011; Singh et al. 2014; ISO14031</v>
      </c>
      <c r="P375" s="9" t="str">
        <v>Company; Factory; Process</v>
      </c>
      <c r="Q375" s="9" t="str">
        <v>25 Manufacture of fabricated metal products, except machinery and equipment; 27 Manufacture of electrical equipment; 29 Manufacture of motor vehicles, trailers and semi-trailers; not specified</v>
      </c>
      <c r="R375" s="9" t="str">
        <v>Original forming; Transforming; Separating; Joining; Coating and finishing; not specified</v>
      </c>
      <c r="S375" s="9" t="str">
        <v>Small; Medium; not specified</v>
      </c>
    </row>
    <row r="376" spans="1:19" ht="51.5" customHeight="1" x14ac:dyDescent="0.35">
      <c r="A376" s="9" t="str">
        <v>42-016</v>
      </c>
      <c r="B376" s="9" t="str">
        <v>Output</v>
      </c>
      <c r="C376" s="9" t="str">
        <v>Waste</v>
      </c>
      <c r="D376" s="9" t="str">
        <v>Output - Waste</v>
      </c>
      <c r="E376" s="9" t="str">
        <v>x</v>
      </c>
      <c r="F376" s="9">
        <v>0</v>
      </c>
      <c r="G376" s="9" t="str">
        <v>Cost</v>
      </c>
      <c r="H376" s="9" t="str">
        <v>Economic - Cost</v>
      </c>
      <c r="I376" s="12" t="str">
        <v>Solid waste disposal cost</v>
      </c>
      <c r="J376" s="9" t="str">
        <v>This indicator measures the total costs incurred by the company for disposing solid waste. It can also be measured as percentage of total production costs.</v>
      </c>
      <c r="K376" s="9" t="str">
        <v>Quantitative</v>
      </c>
      <c r="L376" s="9" t="str">
        <v>€</v>
      </c>
      <c r="M376" s="9" t="str">
        <v>-</v>
      </c>
      <c r="N376" s="9">
        <v>1</v>
      </c>
      <c r="O376" s="9" t="str">
        <v>Kravchenko et al. 2019</v>
      </c>
      <c r="P376" s="9" t="str">
        <v>Company</v>
      </c>
      <c r="Q376" s="9" t="str">
        <v>13 Manufacture of textiles; 28 Manufacture of machinery and equipment n.e.c.; 31 Manufacture of furniture</v>
      </c>
      <c r="R376" s="9" t="str">
        <v>not specified</v>
      </c>
      <c r="S376" s="9" t="str">
        <v>Micro; Large</v>
      </c>
    </row>
    <row r="377" spans="1:19" ht="51.5" customHeight="1" x14ac:dyDescent="0.35">
      <c r="A377" s="9" t="str">
        <v>42-017</v>
      </c>
      <c r="B377" s="9" t="str">
        <v>Output</v>
      </c>
      <c r="C377" s="9" t="str">
        <v>Waste</v>
      </c>
      <c r="D377" s="9" t="str">
        <v>Output - Waste</v>
      </c>
      <c r="E377" s="9">
        <v>0</v>
      </c>
      <c r="F377" s="9" t="str">
        <v>x</v>
      </c>
      <c r="G377" s="9" t="str">
        <v>Resource Use &amp; Circular Economy</v>
      </c>
      <c r="H377" s="9" t="str">
        <v>Environmental - Resource Use &amp; Circular Economy</v>
      </c>
      <c r="I377" s="12" t="str">
        <v>Paper and cardboard waste</v>
      </c>
      <c r="J377" s="9" t="str">
        <v>This indicator measures the absolute mass of paper and cardboard waste generated.</v>
      </c>
      <c r="K377" s="9" t="str">
        <v>Quantitative</v>
      </c>
      <c r="L377" s="9" t="str">
        <v>unit of mass</v>
      </c>
      <c r="M377" s="9" t="str">
        <v>-</v>
      </c>
      <c r="N377" s="9">
        <v>1</v>
      </c>
      <c r="O377" s="9" t="str">
        <v>Herva et al. 2008</v>
      </c>
      <c r="P377" s="9" t="str">
        <v>Factory</v>
      </c>
      <c r="Q377" s="9" t="str">
        <v>14 Manufacture of wearing apparel</v>
      </c>
      <c r="R377" s="9" t="str">
        <v>Transforming; Separating; Coating and finishing</v>
      </c>
      <c r="S377" s="9" t="str">
        <v>not specified</v>
      </c>
    </row>
    <row r="378" spans="1:19" ht="51.5" customHeight="1" x14ac:dyDescent="0.35">
      <c r="A378" s="9" t="str">
        <v>42-018</v>
      </c>
      <c r="B378" s="9" t="str">
        <v>Output</v>
      </c>
      <c r="C378" s="9" t="str">
        <v>Waste</v>
      </c>
      <c r="D378" s="9" t="str">
        <v>Output - Waste</v>
      </c>
      <c r="E378" s="9">
        <v>0</v>
      </c>
      <c r="F378" s="9" t="str">
        <v>x</v>
      </c>
      <c r="G378" s="9" t="str">
        <v>Resource Use &amp; Circular Economy</v>
      </c>
      <c r="H378" s="9" t="str">
        <v>Environmental - Resource Use &amp; Circular Economy</v>
      </c>
      <c r="I378" s="12" t="str">
        <v>Plastic waste</v>
      </c>
      <c r="J378" s="9" t="str">
        <v>This indicator measures the absolute mass of plastic waste generated.</v>
      </c>
      <c r="K378" s="9" t="str">
        <v>Quantitative</v>
      </c>
      <c r="L378" s="9" t="str">
        <v>unit of mass</v>
      </c>
      <c r="M378" s="9" t="str">
        <v>-</v>
      </c>
      <c r="N378" s="9">
        <v>1</v>
      </c>
      <c r="O378" s="9" t="str">
        <v>Herva et al. 2008</v>
      </c>
      <c r="P378" s="9" t="str">
        <v>Factory</v>
      </c>
      <c r="Q378" s="9" t="str">
        <v>14 Manufacture of wearing apparel</v>
      </c>
      <c r="R378" s="9" t="str">
        <v>Transforming; Separating; Coating and finishing</v>
      </c>
      <c r="S378" s="9" t="str">
        <v>not specified</v>
      </c>
    </row>
    <row r="379" spans="1:19" ht="51.5" customHeight="1" x14ac:dyDescent="0.35">
      <c r="A379" s="9" t="str">
        <v>42-019</v>
      </c>
      <c r="B379" s="9" t="str">
        <v>Output</v>
      </c>
      <c r="C379" s="9" t="str">
        <v>Waste</v>
      </c>
      <c r="D379" s="9" t="str">
        <v>Output - Waste</v>
      </c>
      <c r="E379" s="9">
        <v>0</v>
      </c>
      <c r="F379" s="9" t="str">
        <v>x</v>
      </c>
      <c r="G379" s="9" t="str">
        <v>Resource Use &amp; Circular Economy</v>
      </c>
      <c r="H379" s="9" t="str">
        <v>Environmental - Resource Use &amp; Circular Economy</v>
      </c>
      <c r="I379" s="12" t="str">
        <v>Textile waste</v>
      </c>
      <c r="J379" s="9" t="str">
        <v>This indicator measures the absolute mass of textile waste generated.</v>
      </c>
      <c r="K379" s="9" t="str">
        <v>Quantitative</v>
      </c>
      <c r="L379" s="9" t="str">
        <v>unit of mass</v>
      </c>
      <c r="M379" s="9" t="str">
        <v>-</v>
      </c>
      <c r="N379" s="9">
        <v>1</v>
      </c>
      <c r="O379" s="9" t="str">
        <v>Herva et al. 2008</v>
      </c>
      <c r="P379" s="9" t="str">
        <v>Factory</v>
      </c>
      <c r="Q379" s="9" t="str">
        <v>14 Manufacture of wearing apparel</v>
      </c>
      <c r="R379" s="9" t="str">
        <v>Transforming; Separating; Coating and finishing</v>
      </c>
      <c r="S379" s="9" t="str">
        <v>not specified</v>
      </c>
    </row>
    <row r="380" spans="1:19" ht="51.5" customHeight="1" x14ac:dyDescent="0.35">
      <c r="A380" s="9" t="str">
        <v>42-020</v>
      </c>
      <c r="B380" s="9" t="str">
        <v>Output</v>
      </c>
      <c r="C380" s="9" t="str">
        <v>Waste</v>
      </c>
      <c r="D380" s="9" t="str">
        <v>Output - Waste</v>
      </c>
      <c r="E380" s="9">
        <v>0</v>
      </c>
      <c r="F380" s="9" t="str">
        <v>x</v>
      </c>
      <c r="G380" s="9" t="str">
        <v>Resource Use &amp; Circular Economy</v>
      </c>
      <c r="H380" s="9" t="str">
        <v>Environmental - Resource Use &amp; Circular Economy</v>
      </c>
      <c r="I380" s="12" t="str">
        <v>Urban waste</v>
      </c>
      <c r="J380" s="9" t="str">
        <v>This indicator measures the absolute mass of urban waste generated.</v>
      </c>
      <c r="K380" s="9" t="str">
        <v>Quantitative</v>
      </c>
      <c r="L380" s="9" t="str">
        <v>unit of mass</v>
      </c>
      <c r="M380" s="9" t="str">
        <v>-</v>
      </c>
      <c r="N380" s="9">
        <v>1</v>
      </c>
      <c r="O380" s="9" t="str">
        <v>Herva et al. 2008</v>
      </c>
      <c r="P380" s="9" t="str">
        <v>Factory</v>
      </c>
      <c r="Q380" s="9" t="str">
        <v>14 Manufacture of wearing apparel</v>
      </c>
      <c r="R380" s="9" t="str">
        <v>Transforming; Separating; Coating and finishing</v>
      </c>
      <c r="S380" s="9" t="str">
        <v>not specified</v>
      </c>
    </row>
    <row r="381" spans="1:19" ht="51.5" customHeight="1" x14ac:dyDescent="0.35">
      <c r="A381" s="9" t="str">
        <v>42-021</v>
      </c>
      <c r="B381" s="9" t="str">
        <v>Output</v>
      </c>
      <c r="C381" s="9" t="str">
        <v>Waste</v>
      </c>
      <c r="D381" s="9" t="str">
        <v>Output - Waste</v>
      </c>
      <c r="E381" s="9">
        <v>0</v>
      </c>
      <c r="F381" s="9" t="str">
        <v>x</v>
      </c>
      <c r="G381" s="9" t="str">
        <v>Resource Use &amp; Circular Economy</v>
      </c>
      <c r="H381" s="9" t="str">
        <v>Environmental - Resource Use &amp; Circular Economy</v>
      </c>
      <c r="I381" s="12" t="str">
        <v>Packaging waste</v>
      </c>
      <c r="J381" s="9" t="str">
        <v>This indicator measures the mass of packaging scrap.</v>
      </c>
      <c r="K381" s="9" t="str">
        <v>Quantitative</v>
      </c>
      <c r="L381" s="9" t="str">
        <v>unit of mass</v>
      </c>
      <c r="M381" s="9" t="str">
        <v>-</v>
      </c>
      <c r="N381" s="9">
        <v>3</v>
      </c>
      <c r="O381" s="9" t="str">
        <v>Kravchenko et al. 2019; Tan et al. 2015; ISO14031</v>
      </c>
      <c r="P381" s="9" t="str">
        <v>Company; Factory</v>
      </c>
      <c r="Q381" s="9" t="str">
        <v>13 Manufacture of textiles; 28 Manufacture of machinery and equipment n.e.c.; 31 Manufacture of furniture; not specified</v>
      </c>
      <c r="R381" s="9" t="str">
        <v>not specified</v>
      </c>
      <c r="S381" s="9" t="str">
        <v>Micro; Small; Medium; Large; not specified</v>
      </c>
    </row>
    <row r="382" spans="1:19" ht="51.5" customHeight="1" x14ac:dyDescent="0.35">
      <c r="A382" s="9" t="str">
        <v>42-022</v>
      </c>
      <c r="B382" s="9" t="str">
        <v>Output</v>
      </c>
      <c r="C382" s="9" t="str">
        <v>Waste</v>
      </c>
      <c r="D382" s="9" t="str">
        <v>Output - Waste</v>
      </c>
      <c r="E382" s="9">
        <v>0</v>
      </c>
      <c r="F382" s="9" t="str">
        <v>x</v>
      </c>
      <c r="G382" s="9" t="str">
        <v>Resource Use &amp; Circular Economy</v>
      </c>
      <c r="H382" s="9" t="str">
        <v>Environmental - Resource Use &amp; Circular Economy</v>
      </c>
      <c r="I382" s="12" t="str">
        <v>Consumables waste</v>
      </c>
      <c r="J382" s="9" t="str">
        <v>This indicator measures the mass of consumables disposed per production output.</v>
      </c>
      <c r="K382" s="9" t="str">
        <v>Quantitative</v>
      </c>
      <c r="L382" s="9" t="str">
        <v>kg/unit</v>
      </c>
      <c r="M382" s="9" t="str">
        <v>-</v>
      </c>
      <c r="N382" s="9">
        <v>1</v>
      </c>
      <c r="O382" s="9" t="str">
        <v>Faulkner &amp; Badurdeen 2014</v>
      </c>
      <c r="P382" s="9" t="str">
        <v>Process</v>
      </c>
      <c r="Q382" s="9" t="str">
        <v>26 Manufacture of computer, electronic and optical products</v>
      </c>
      <c r="R382" s="9" t="str">
        <v>Original forming; Joining; Coating and finishing; Change of material properties</v>
      </c>
      <c r="S382" s="9" t="str">
        <v>not specified</v>
      </c>
    </row>
    <row r="383" spans="1:19" ht="51.5" customHeight="1" x14ac:dyDescent="0.35">
      <c r="A383" s="9" t="str">
        <v>42-023</v>
      </c>
      <c r="B383" s="9" t="str">
        <v>Output</v>
      </c>
      <c r="C383" s="9" t="str">
        <v>Waste</v>
      </c>
      <c r="D383" s="9" t="str">
        <v>Output - Waste</v>
      </c>
      <c r="E383" s="9">
        <v>0</v>
      </c>
      <c r="F383" s="9" t="str">
        <v>x</v>
      </c>
      <c r="G383" s="9" t="str">
        <v>Resource Use &amp; Circular Economy</v>
      </c>
      <c r="H383" s="9" t="str">
        <v>Environmental - Resource Use &amp; Circular Economy</v>
      </c>
      <c r="I383" s="12" t="str">
        <v>Sludge generated</v>
      </c>
      <c r="J383" s="9" t="str">
        <v>This indicator measures the sludge generated.</v>
      </c>
      <c r="K383" s="9" t="str">
        <v>Quantitative</v>
      </c>
      <c r="L383" s="9" t="str">
        <v>unit of mass</v>
      </c>
      <c r="M383" s="9" t="str">
        <v>-</v>
      </c>
      <c r="N383" s="9">
        <v>1</v>
      </c>
      <c r="O383" s="9" t="str">
        <v>Veleva et al. 2001</v>
      </c>
      <c r="P383" s="9" t="str">
        <v>Company; Factory</v>
      </c>
      <c r="Q383" s="9" t="str">
        <v>not specified</v>
      </c>
      <c r="R383" s="9" t="str">
        <v>not specified</v>
      </c>
      <c r="S383" s="9" t="str">
        <v>not specified</v>
      </c>
    </row>
    <row r="384" spans="1:19" ht="51.5" customHeight="1" x14ac:dyDescent="0.35">
      <c r="A384" s="9" t="str">
        <v>42-024</v>
      </c>
      <c r="B384" s="9" t="str">
        <v>Output</v>
      </c>
      <c r="C384" s="9" t="str">
        <v>Waste</v>
      </c>
      <c r="D384" s="9" t="str">
        <v>Output - Waste</v>
      </c>
      <c r="E384" s="9">
        <v>0</v>
      </c>
      <c r="F384" s="9" t="str">
        <v>x</v>
      </c>
      <c r="G384" s="9" t="str">
        <v>Resource Use &amp; Circular Economy</v>
      </c>
      <c r="H384" s="9" t="str">
        <v>Environmental - Resource Use &amp; Circular Economy</v>
      </c>
      <c r="I384" s="12" t="str">
        <v>Liquid waste</v>
      </c>
      <c r="J384" s="9" t="str">
        <v>This indicator measures the liquid waste. It can also be broken down by type.</v>
      </c>
      <c r="K384" s="9" t="str">
        <v>Quantitative</v>
      </c>
      <c r="L384" s="9" t="str">
        <v>L</v>
      </c>
      <c r="M384" s="9" t="str">
        <v>-</v>
      </c>
      <c r="N384" s="9">
        <v>4</v>
      </c>
      <c r="O384" s="9" t="str">
        <v>Gani et al. 2021; Huang &amp; Badurdeen 2018; Kravchenko et al. 2019; Jiang et al. 2012</v>
      </c>
      <c r="P384" s="9" t="str">
        <v>Company; Factory; Production line; Process</v>
      </c>
      <c r="Q384" s="9" t="str">
        <v>13 Manufacture of textiles; 25 Manufacture of fabricated metal products, except machinery and equipment; 26 Manufacture of computer, electronic and optical products; 28 Manufacture of machinery and equipment n.e.c.; 31 Manufacture of furniture; not specified</v>
      </c>
      <c r="R384" s="9" t="str">
        <v>Original forming; Separating; Joining; Coating and finishing; Change of material properties; not specified</v>
      </c>
      <c r="S384" s="9" t="str">
        <v>Micro; Large; not specified</v>
      </c>
    </row>
    <row r="385" spans="1:19" ht="51.5" customHeight="1" x14ac:dyDescent="0.35">
      <c r="A385" s="9" t="str">
        <v>42-025</v>
      </c>
      <c r="B385" s="9" t="str">
        <v>Output</v>
      </c>
      <c r="C385" s="9" t="str">
        <v>Waste</v>
      </c>
      <c r="D385" s="9" t="str">
        <v>Output - Waste</v>
      </c>
      <c r="E385" s="9">
        <v>0</v>
      </c>
      <c r="F385" s="9" t="str">
        <v>x</v>
      </c>
      <c r="G385" s="9" t="str">
        <v>Resource Use &amp; Circular Economy</v>
      </c>
      <c r="H385" s="9" t="str">
        <v>Environmental - Resource Use &amp; Circular Economy</v>
      </c>
      <c r="I385" s="12" t="str">
        <v>Liquid waste per unit of production</v>
      </c>
      <c r="J385" s="9" t="str">
        <v>This indicator measures the quantity of liquid waste per unit of production.</v>
      </c>
      <c r="K385" s="9" t="str">
        <v>Quantitative</v>
      </c>
      <c r="L385" s="9" t="str">
        <v>unit of volume/UOP</v>
      </c>
      <c r="M385" s="9" t="str">
        <v>-</v>
      </c>
      <c r="N385" s="9">
        <v>1</v>
      </c>
      <c r="O385" s="9" t="str">
        <v>Kravchenko et al. 2019</v>
      </c>
      <c r="P385" s="9" t="str">
        <v>Company</v>
      </c>
      <c r="Q385" s="9" t="str">
        <v>13 Manufacture of textiles; 28 Manufacture of machinery and equipment n.e.c.; 31 Manufacture of furniture</v>
      </c>
      <c r="R385" s="9" t="str">
        <v>not specified</v>
      </c>
      <c r="S385" s="9" t="str">
        <v>Micro; Large</v>
      </c>
    </row>
    <row r="386" spans="1:19" ht="51.5" customHeight="1" x14ac:dyDescent="0.35">
      <c r="A386" s="9" t="str">
        <v>42-026</v>
      </c>
      <c r="B386" s="9" t="str">
        <v>Output</v>
      </c>
      <c r="C386" s="9" t="str">
        <v>Waste</v>
      </c>
      <c r="D386" s="9" t="str">
        <v>Output - Waste</v>
      </c>
      <c r="E386" s="9">
        <v>0</v>
      </c>
      <c r="F386" s="9" t="str">
        <v>x</v>
      </c>
      <c r="G386" s="9" t="str">
        <v>Resource Use &amp; Circular Economy</v>
      </c>
      <c r="H386" s="9" t="str">
        <v>Environmental - Resource Use &amp; Circular Economy</v>
      </c>
      <c r="I386" s="12" t="str">
        <v>Non-polluted Liquid Waste Volume</v>
      </c>
      <c r="J386" s="9" t="str">
        <v>This indicator measures the total volume of non-polluted liquid effluents produced by the company (that have non-hazardous pollutants or are treated before being released into the environment).</v>
      </c>
      <c r="K386" s="9" t="str">
        <v>Quantitative</v>
      </c>
      <c r="L386" s="9" t="str">
        <v>m³</v>
      </c>
      <c r="M386" s="9" t="str">
        <v>-</v>
      </c>
      <c r="N386" s="9">
        <v>1</v>
      </c>
      <c r="O386" s="9" t="str">
        <v>Kravchenko et al. 2019</v>
      </c>
      <c r="P386" s="9" t="str">
        <v>Company</v>
      </c>
      <c r="Q386" s="9" t="str">
        <v>13 Manufacture of textiles; 28 Manufacture of machinery and equipment n.e.c.; 31 Manufacture of furniture</v>
      </c>
      <c r="R386" s="9" t="str">
        <v>not specified</v>
      </c>
      <c r="S386" s="9" t="str">
        <v>Micro; Large</v>
      </c>
    </row>
    <row r="387" spans="1:19" ht="51.5" customHeight="1" x14ac:dyDescent="0.35">
      <c r="A387" s="9" t="str">
        <v>42-027</v>
      </c>
      <c r="B387" s="9" t="str">
        <v>Output</v>
      </c>
      <c r="C387" s="9" t="str">
        <v>Waste</v>
      </c>
      <c r="D387" s="9" t="str">
        <v>Output - Waste</v>
      </c>
      <c r="E387" s="9">
        <v>0</v>
      </c>
      <c r="F387" s="9" t="str">
        <v>x</v>
      </c>
      <c r="G387" s="9" t="str">
        <v>Resource Use &amp; Circular Economy</v>
      </c>
      <c r="H387" s="9" t="str">
        <v>Environmental - Resource Use &amp; Circular Economy</v>
      </c>
      <c r="I387" s="12" t="str">
        <v>Polluted Liquid Waste volume</v>
      </c>
      <c r="J387" s="9" t="str">
        <v>This indicator measures the total volume of polluted liquid effluents produced by the company.</v>
      </c>
      <c r="K387" s="9" t="str">
        <v>Quantitative</v>
      </c>
      <c r="L387" s="9" t="str">
        <v>m³</v>
      </c>
      <c r="M387" s="9" t="str">
        <v>-</v>
      </c>
      <c r="N387" s="9">
        <v>1</v>
      </c>
      <c r="O387" s="9" t="str">
        <v>Kravchenko et al. 2019</v>
      </c>
      <c r="P387" s="9" t="str">
        <v>Company</v>
      </c>
      <c r="Q387" s="9" t="str">
        <v>13 Manufacture of textiles; 28 Manufacture of machinery and equipment n.e.c.; 31 Manufacture of furniture</v>
      </c>
      <c r="R387" s="9" t="str">
        <v>not specified</v>
      </c>
      <c r="S387" s="9" t="str">
        <v>Micro; Large</v>
      </c>
    </row>
    <row r="388" spans="1:19" ht="51.5" customHeight="1" x14ac:dyDescent="0.35">
      <c r="A388" s="9" t="str">
        <v>42-028</v>
      </c>
      <c r="B388" s="9" t="str">
        <v>Output</v>
      </c>
      <c r="C388" s="9" t="str">
        <v>Waste</v>
      </c>
      <c r="D388" s="9" t="str">
        <v>Output - Waste</v>
      </c>
      <c r="E388" s="9">
        <v>0</v>
      </c>
      <c r="F388" s="9" t="str">
        <v>x</v>
      </c>
      <c r="G388" s="9" t="str">
        <v>Resource Use &amp; Circular Economy</v>
      </c>
      <c r="H388" s="9" t="str">
        <v>Environmental - Resource Use &amp; Circular Economy</v>
      </c>
      <c r="I388" s="12" t="str">
        <v>Pollution Mass Concentration in Liquid Waste</v>
      </c>
      <c r="J388" s="9" t="str">
        <v>This indicator measures the mass of pollutants, such as Phosphorus, Nitrogen, Lead, etc, in relation to the total liquid waste volume.</v>
      </c>
      <c r="K388" s="9" t="str">
        <v>Quantitative</v>
      </c>
      <c r="L388" s="9" t="str">
        <v>%</v>
      </c>
      <c r="M388" s="9" t="str">
        <v>-</v>
      </c>
      <c r="N388" s="9">
        <v>1</v>
      </c>
      <c r="O388" s="9" t="str">
        <v>Kravchenko et al. 2019</v>
      </c>
      <c r="P388" s="9" t="str">
        <v>Company</v>
      </c>
      <c r="Q388" s="9" t="str">
        <v>13 Manufacture of textiles; 28 Manufacture of machinery and equipment n.e.c.; 31 Manufacture of furniture</v>
      </c>
      <c r="R388" s="9" t="str">
        <v>not specified</v>
      </c>
      <c r="S388" s="9" t="str">
        <v>Micro; Large</v>
      </c>
    </row>
    <row r="389" spans="1:19" ht="51.5" customHeight="1" x14ac:dyDescent="0.35">
      <c r="A389" s="9" t="str">
        <v>42-029</v>
      </c>
      <c r="B389" s="9" t="str">
        <v>Output</v>
      </c>
      <c r="C389" s="9" t="str">
        <v>Waste</v>
      </c>
      <c r="D389" s="9" t="str">
        <v>Output - Waste</v>
      </c>
      <c r="E389" s="9">
        <v>0</v>
      </c>
      <c r="F389" s="9" t="str">
        <v>x</v>
      </c>
      <c r="G389" s="9" t="str">
        <v>Resource Use &amp; Circular Economy</v>
      </c>
      <c r="H389" s="9" t="str">
        <v>Environmental - Resource Use &amp; Circular Economy</v>
      </c>
      <c r="I389" s="12" t="str">
        <v>Chemical waste</v>
      </c>
      <c r="J389" s="9" t="str">
        <v>This indicator measures the amount of chemical waste.</v>
      </c>
      <c r="K389" s="9" t="str">
        <v>Quantitative</v>
      </c>
      <c r="L389" s="9" t="str">
        <v>unit of mass</v>
      </c>
      <c r="M389" s="9" t="str">
        <v>-</v>
      </c>
      <c r="N389" s="9">
        <v>1</v>
      </c>
      <c r="O389" s="9" t="str">
        <v>Cagno et al. 2019</v>
      </c>
      <c r="P389" s="9" t="str">
        <v>Company</v>
      </c>
      <c r="Q389" s="9" t="str">
        <v>13 Manufacture of textiles; 24 Manufacture of basic metals; 28 Manufacture of machinery and equipment n.e.c.; 31 Manufacture of furniture</v>
      </c>
      <c r="R389" s="9" t="str">
        <v>not specified</v>
      </c>
      <c r="S389" s="9" t="str">
        <v>Small; Medium; Large</v>
      </c>
    </row>
    <row r="390" spans="1:19" ht="51.5" customHeight="1" x14ac:dyDescent="0.35">
      <c r="A390" s="9" t="str">
        <v>42-030</v>
      </c>
      <c r="B390" s="9" t="str">
        <v>Output</v>
      </c>
      <c r="C390" s="9" t="str">
        <v>Waste</v>
      </c>
      <c r="D390" s="9" t="str">
        <v>Output - Waste</v>
      </c>
      <c r="E390" s="9">
        <v>0</v>
      </c>
      <c r="F390" s="9" t="str">
        <v>x</v>
      </c>
      <c r="G390" s="9" t="str">
        <v>Resource Use &amp; Circular Economy</v>
      </c>
      <c r="H390" s="9" t="str">
        <v>Environmental - Resource Use &amp; Circular Economy</v>
      </c>
      <c r="I390" s="12" t="str">
        <v>Hazardous waste</v>
      </c>
      <c r="J390" s="9" t="str">
        <v>This indicator measures the amount of hazardous waste. It includes waste with toxic, infectious, radioactive, or flammable properties, which poses a potential hazard to human health, other living organisms, and the environment. It can also be measured as a ratio to the total waste.</v>
      </c>
      <c r="K390" s="9" t="str">
        <v>Quantitative</v>
      </c>
      <c r="L390" s="9" t="str">
        <v>unit of mass</v>
      </c>
      <c r="M390" s="9" t="str">
        <v>-</v>
      </c>
      <c r="N390" s="9">
        <v>15</v>
      </c>
      <c r="O390" s="9" t="str">
        <v>Bao &amp; Bodapati 2012; Dočekalová &amp; Kocmanová 2016; Eastwood &amp; Haapala 2015; Fan et al. 2010; Feil et al. 2017; Feil et al. 2019; Gani et al. 2021; Hartini et al. 2020; Huang &amp; Badurdeen 2018; Li et al. 2012; Mengistu &amp; Panizzolo 2023a; Rao et al. 2006; Salvado et al. 2015; Winroth et al. 2016; EMAS</v>
      </c>
      <c r="P390" s="9" t="str">
        <v>Company; Factory; Production line; Process</v>
      </c>
      <c r="Q390" s="9" t="str">
        <v>25 Manufacture of fabricated metal products, except machinery and equipment; 26 Manufacture of computer, electronic and optical products; 27 Manufacture of electrical equipment; 29 Manufacture of motor vehicles, trailers and semi-trailers; 30 Manufacture of other transport equipment; 31 Manufacture of furniture; 32 Other manufacturing; not specified</v>
      </c>
      <c r="R390" s="9" t="str">
        <v>Original forming; Separating; Joining; Coating and finishing; Change of material properties; not specified</v>
      </c>
      <c r="S390" s="9" t="str">
        <v>Micro; Small; Medium; Large; not specified</v>
      </c>
    </row>
    <row r="391" spans="1:19" ht="51.5" customHeight="1" x14ac:dyDescent="0.35">
      <c r="A391" s="9" t="str">
        <v>42-031</v>
      </c>
      <c r="B391" s="9" t="str">
        <v>Output</v>
      </c>
      <c r="C391" s="9" t="str">
        <v>Waste</v>
      </c>
      <c r="D391" s="9" t="str">
        <v>Output - Waste</v>
      </c>
      <c r="E391" s="9">
        <v>0</v>
      </c>
      <c r="F391" s="9" t="str">
        <v>x</v>
      </c>
      <c r="G391" s="9" t="str">
        <v>Resource Use &amp; Circular Economy</v>
      </c>
      <c r="H391" s="9" t="str">
        <v>Environmental - Resource Use &amp; Circular Economy</v>
      </c>
      <c r="I391" s="12" t="str">
        <v>Hazardous waste per unit of production</v>
      </c>
      <c r="J391" s="9" t="str">
        <v>This indicator measures the amount of hazardous waste per unit of production.</v>
      </c>
      <c r="K391" s="9" t="str">
        <v>Quantitative</v>
      </c>
      <c r="L391" s="9" t="str">
        <v>kg/UOP</v>
      </c>
      <c r="M391" s="9" t="str">
        <v>-</v>
      </c>
      <c r="N391" s="9">
        <v>3</v>
      </c>
      <c r="O391" s="9" t="str">
        <v>Kocmanová et al. 2015; Singh et al. 2007a; ISO14031</v>
      </c>
      <c r="P391" s="9" t="str">
        <v>Company; Factory</v>
      </c>
      <c r="Q391" s="9" t="str">
        <v>13 Manufacture of textiles; 22 Manufacture of rubber and plastic products; 24 Manufacture of basic metals; 25 Manufacture of fabricated metal products, except machinery and equipment; 26 Manufacture of computer, electronic and optical products; 27 Manufacture of electrical equipment; 28 Manufacture of machinery and equipment n.e.c.; not specified</v>
      </c>
      <c r="R391" s="9" t="str">
        <v>not specified</v>
      </c>
      <c r="S391" s="9" t="str">
        <v>Large; not specified</v>
      </c>
    </row>
    <row r="392" spans="1:19" ht="51.5" customHeight="1" x14ac:dyDescent="0.35">
      <c r="A392" s="9" t="str">
        <v>42-032</v>
      </c>
      <c r="B392" s="9" t="str">
        <v>Output</v>
      </c>
      <c r="C392" s="9" t="str">
        <v>Waste</v>
      </c>
      <c r="D392" s="9" t="str">
        <v>Output - Waste</v>
      </c>
      <c r="E392" s="9">
        <v>0</v>
      </c>
      <c r="F392" s="9" t="str">
        <v>x</v>
      </c>
      <c r="G392" s="9" t="str">
        <v>Resource Use &amp; Circular Economy</v>
      </c>
      <c r="H392" s="9" t="str">
        <v>Environmental - Resource Use &amp; Circular Economy</v>
      </c>
      <c r="I392" s="12" t="str">
        <v>Hazardous solid waste</v>
      </c>
      <c r="J392" s="9" t="str">
        <v>This indicator measures the amount of hazardous solid waste.</v>
      </c>
      <c r="K392" s="9" t="str">
        <v>Quantitative</v>
      </c>
      <c r="L392" s="9" t="str">
        <v>unit of mass</v>
      </c>
      <c r="M392" s="9" t="str">
        <v>-</v>
      </c>
      <c r="N392" s="9">
        <v>3</v>
      </c>
      <c r="O392" s="9" t="str">
        <v>Cagno et al. 2019; Cagno et al. 2023; Kravchenko et al. 2019</v>
      </c>
      <c r="P392" s="9" t="str">
        <v>Company</v>
      </c>
      <c r="Q392" s="9" t="str">
        <v>13 Manufacture of textiles; 23 Manufacture of other non-metallic mineral products; 24 Manufacture of basic metals; 27 Manufacture of electrical equipment; 28 Manufacture of machinery and equipment n.e.c.; 29 Manufacture of motor vehicles, trailers and semi-trailers; 31 Manufacture of furniture</v>
      </c>
      <c r="R392" s="9" t="str">
        <v>not specified</v>
      </c>
      <c r="S392" s="9" t="str">
        <v>Micro; Small; Medium; Large</v>
      </c>
    </row>
    <row r="393" spans="1:19" ht="51.5" customHeight="1" x14ac:dyDescent="0.35">
      <c r="A393" s="9" t="str">
        <v>42-033</v>
      </c>
      <c r="B393" s="9" t="str">
        <v>Output</v>
      </c>
      <c r="C393" s="9" t="str">
        <v>Waste</v>
      </c>
      <c r="D393" s="9" t="str">
        <v>Output - Waste</v>
      </c>
      <c r="E393" s="9">
        <v>0</v>
      </c>
      <c r="F393" s="9" t="str">
        <v>x</v>
      </c>
      <c r="G393" s="9" t="str">
        <v>Resource Use &amp; Circular Economy</v>
      </c>
      <c r="H393" s="9" t="str">
        <v>Environmental - Resource Use &amp; Circular Economy</v>
      </c>
      <c r="I393" s="12" t="str">
        <v>Hazardous liquid waste</v>
      </c>
      <c r="J393" s="9" t="str">
        <v>This indicator measures the amount of hazardous liquid waste.</v>
      </c>
      <c r="K393" s="9" t="str">
        <v>Quantitative</v>
      </c>
      <c r="L393" s="9" t="str">
        <v>L</v>
      </c>
      <c r="M393" s="9" t="str">
        <v>-</v>
      </c>
      <c r="N393" s="9">
        <v>2</v>
      </c>
      <c r="O393" s="9" t="str">
        <v>Cagno et al. 2019; Cagno et al. 2023</v>
      </c>
      <c r="P393" s="9" t="str">
        <v>Company</v>
      </c>
      <c r="Q393" s="9" t="str">
        <v>13 Manufacture of textiles; 23 Manufacture of other non-metallic mineral products; 24 Manufacture of basic metals; 27 Manufacture of electrical equipment; 28 Manufacture of machinery and equipment n.e.c.; 29 Manufacture of motor vehicles, trailers and semi-trailers; 31 Manufacture of furniture</v>
      </c>
      <c r="R393" s="9" t="str">
        <v>not specified</v>
      </c>
      <c r="S393" s="9" t="str">
        <v>Small; Medium; Large</v>
      </c>
    </row>
    <row r="394" spans="1:19" ht="51.5" customHeight="1" x14ac:dyDescent="0.35">
      <c r="A394" s="9" t="str">
        <v>42-034</v>
      </c>
      <c r="B394" s="9" t="str">
        <v>Output</v>
      </c>
      <c r="C394" s="9" t="str">
        <v>Waste</v>
      </c>
      <c r="D394" s="9" t="str">
        <v>Output - Waste</v>
      </c>
      <c r="E394" s="9">
        <v>0</v>
      </c>
      <c r="F394" s="9" t="str">
        <v>x</v>
      </c>
      <c r="G394" s="9" t="str">
        <v>Resource Use &amp; Circular Economy</v>
      </c>
      <c r="H394" s="9" t="str">
        <v>Environmental - Resource Use &amp; Circular Economy</v>
      </c>
      <c r="I394" s="12" t="str">
        <v>Hazardous Sludge Volume</v>
      </c>
      <c r="J394" s="9" t="str">
        <v>This indicator measures the volume of hazardous sludge.</v>
      </c>
      <c r="K394" s="9" t="str">
        <v>Quantitative</v>
      </c>
      <c r="L394" s="9" t="str">
        <v>m³</v>
      </c>
      <c r="M394" s="9" t="str">
        <v>-</v>
      </c>
      <c r="N394" s="9">
        <v>1</v>
      </c>
      <c r="O394" s="9" t="str">
        <v>Kravchenko et al. 2019</v>
      </c>
      <c r="P394" s="9" t="str">
        <v>Company</v>
      </c>
      <c r="Q394" s="9" t="str">
        <v>13 Manufacture of textiles; 28 Manufacture of machinery and equipment n.e.c.; 31 Manufacture of furniture</v>
      </c>
      <c r="R394" s="9" t="str">
        <v>not specified</v>
      </c>
      <c r="S394" s="9" t="str">
        <v>Micro; Large</v>
      </c>
    </row>
    <row r="395" spans="1:19" ht="51.5" customHeight="1" x14ac:dyDescent="0.35">
      <c r="A395" s="9" t="str">
        <v>42-035</v>
      </c>
      <c r="B395" s="9" t="str">
        <v>Output</v>
      </c>
      <c r="C395" s="9" t="str">
        <v>Waste</v>
      </c>
      <c r="D395" s="9" t="str">
        <v>Output - Waste</v>
      </c>
      <c r="E395" s="9">
        <v>0</v>
      </c>
      <c r="F395" s="9" t="str">
        <v>x</v>
      </c>
      <c r="G395" s="9" t="str">
        <v>Resource Use &amp; Circular Economy</v>
      </c>
      <c r="H395" s="9" t="str">
        <v>Environmental - Resource Use &amp; Circular Economy</v>
      </c>
      <c r="I395" s="12" t="str">
        <v>Non-hazardous waste</v>
      </c>
      <c r="J395" s="9" t="str">
        <v>This indicator measures the amount of non-hazardous waste.</v>
      </c>
      <c r="K395" s="9" t="str">
        <v>Quantitative</v>
      </c>
      <c r="L395" s="9" t="str">
        <v>unit of mass</v>
      </c>
      <c r="M395" s="9" t="str">
        <v>-</v>
      </c>
      <c r="N395" s="9">
        <v>2</v>
      </c>
      <c r="O395" s="9" t="str">
        <v>Bao &amp; Bodapati 2012; Salvado et al. 2015</v>
      </c>
      <c r="P395" s="9" t="str">
        <v>Company; Process</v>
      </c>
      <c r="Q395" s="9" t="str">
        <v>26 Manufacture of computer, electronic and optical products; 29 Manufacture of motor vehicles, trailers and semi-trailers</v>
      </c>
      <c r="R395" s="9" t="str">
        <v>not specified</v>
      </c>
      <c r="S395" s="9" t="str">
        <v>Large</v>
      </c>
    </row>
    <row r="396" spans="1:19" ht="51.5" customHeight="1" x14ac:dyDescent="0.35">
      <c r="A396" s="9" t="str">
        <v>42-036</v>
      </c>
      <c r="B396" s="9" t="str">
        <v>Output</v>
      </c>
      <c r="C396" s="9" t="str">
        <v>Waste</v>
      </c>
      <c r="D396" s="9" t="str">
        <v>Output - Waste</v>
      </c>
      <c r="E396" s="9">
        <v>0</v>
      </c>
      <c r="F396" s="9" t="str">
        <v>x</v>
      </c>
      <c r="G396" s="9" t="str">
        <v>Resource Use &amp; Circular Economy</v>
      </c>
      <c r="H396" s="9" t="str">
        <v>Environmental - Resource Use &amp; Circular Economy</v>
      </c>
      <c r="I396" s="12" t="str">
        <v>Non-hazardous solid waste</v>
      </c>
      <c r="J396" s="9" t="str">
        <v>This indicator measures the amount of non-hazardous solid waste.</v>
      </c>
      <c r="K396" s="9" t="str">
        <v>Quantitative</v>
      </c>
      <c r="L396" s="9" t="str">
        <v>unit of mass</v>
      </c>
      <c r="M396" s="9" t="str">
        <v>-</v>
      </c>
      <c r="N396" s="9">
        <v>1</v>
      </c>
      <c r="O396" s="9" t="str">
        <v>Cagno et al. 2019</v>
      </c>
      <c r="P396" s="9" t="str">
        <v>Company</v>
      </c>
      <c r="Q396" s="9" t="str">
        <v>13 Manufacture of textiles; 24 Manufacture of basic metals; 28 Manufacture of machinery and equipment n.e.c.; 31 Manufacture of furniture</v>
      </c>
      <c r="R396" s="9" t="str">
        <v>not specified</v>
      </c>
      <c r="S396" s="9" t="str">
        <v>Small; Medium; Large</v>
      </c>
    </row>
    <row r="397" spans="1:19" ht="51.5" customHeight="1" x14ac:dyDescent="0.35">
      <c r="A397" s="9" t="str">
        <v>42-037</v>
      </c>
      <c r="B397" s="9" t="str">
        <v>Output</v>
      </c>
      <c r="C397" s="9" t="str">
        <v>Waste</v>
      </c>
      <c r="D397" s="9" t="str">
        <v>Output - Waste</v>
      </c>
      <c r="E397" s="9">
        <v>0</v>
      </c>
      <c r="F397" s="9" t="str">
        <v>x</v>
      </c>
      <c r="G397" s="9" t="str">
        <v>Resource Use &amp; Circular Economy</v>
      </c>
      <c r="H397" s="9" t="str">
        <v>Environmental - Resource Use &amp; Circular Economy</v>
      </c>
      <c r="I397" s="12" t="str">
        <v>Non-hazardous liquid waste</v>
      </c>
      <c r="J397" s="9" t="str">
        <v>This indicator measures the amount of non-hazardous liquid waste.</v>
      </c>
      <c r="K397" s="9" t="str">
        <v>Quantitative</v>
      </c>
      <c r="L397" s="9" t="str">
        <v>L</v>
      </c>
      <c r="M397" s="9" t="str">
        <v>-</v>
      </c>
      <c r="N397" s="9">
        <v>1</v>
      </c>
      <c r="O397" s="9" t="str">
        <v>Cagno et al. 2019</v>
      </c>
      <c r="P397" s="9" t="str">
        <v>Company</v>
      </c>
      <c r="Q397" s="9" t="str">
        <v>13 Manufacture of textiles; 24 Manufacture of basic metals; 28 Manufacture of machinery and equipment n.e.c.; 31 Manufacture of furniture</v>
      </c>
      <c r="R397" s="9" t="str">
        <v>not specified</v>
      </c>
      <c r="S397" s="9" t="str">
        <v>Small; Medium; Large</v>
      </c>
    </row>
    <row r="398" spans="1:19" ht="51.5" customHeight="1" x14ac:dyDescent="0.35">
      <c r="A398" s="9" t="str">
        <v>42-038</v>
      </c>
      <c r="B398" s="9" t="str">
        <v>Output</v>
      </c>
      <c r="C398" s="9" t="str">
        <v>Waste</v>
      </c>
      <c r="D398" s="9" t="str">
        <v>Output - Waste</v>
      </c>
      <c r="E398" s="9">
        <v>0</v>
      </c>
      <c r="F398" s="9" t="str">
        <v>x</v>
      </c>
      <c r="G398" s="9" t="str">
        <v>Resource Use &amp; Circular Economy</v>
      </c>
      <c r="H398" s="9" t="str">
        <v>Environmental - Resource Use &amp; Circular Economy</v>
      </c>
      <c r="I398" s="12" t="str">
        <v>Total waste disposed</v>
      </c>
      <c r="J398" s="9" t="str">
        <v>This indicator measures the total waste disposed (not recycled). It can also be measured as ratio to the total waste.</v>
      </c>
      <c r="K398" s="9" t="str">
        <v>Quantitative</v>
      </c>
      <c r="L398" s="9" t="str">
        <v>unit of mass</v>
      </c>
      <c r="M398" s="9" t="str">
        <v>306-5</v>
      </c>
      <c r="N398" s="9">
        <v>5</v>
      </c>
      <c r="O398" s="9" t="str">
        <v>Cagno et al. 2019; Feil et al. 2017; Hartini et al. 2020; Rao et al. 2006; ISO14031</v>
      </c>
      <c r="P398" s="9" t="str">
        <v>Company; Factory</v>
      </c>
      <c r="Q398" s="9" t="str">
        <v>13 Manufacture of textiles; 24 Manufacture of basic metals; 25 Manufacture of fabricated metal products, except machinery and equipment; 28 Manufacture of machinery and equipment n.e.c.; 29 Manufacture of motor vehicles, trailers and semi-trailers; 31 Manufacture of furniture; 32 Other manufacturing; not specified</v>
      </c>
      <c r="R398" s="9" t="str">
        <v>Separating; Joining; Coating and finishing; not specified</v>
      </c>
      <c r="S398" s="9" t="str">
        <v>Micro; Small; Medium; Large; not specified</v>
      </c>
    </row>
    <row r="399" spans="1:19" ht="51.5" customHeight="1" x14ac:dyDescent="0.35">
      <c r="A399" s="9" t="str">
        <v>42-039</v>
      </c>
      <c r="B399" s="9" t="str">
        <v>Output</v>
      </c>
      <c r="C399" s="9" t="str">
        <v>Waste</v>
      </c>
      <c r="D399" s="9" t="str">
        <v>Output - Waste</v>
      </c>
      <c r="E399" s="9">
        <v>0</v>
      </c>
      <c r="F399" s="9" t="str">
        <v>x</v>
      </c>
      <c r="G399" s="9" t="str">
        <v>Resource Use &amp; Circular Economy</v>
      </c>
      <c r="H399" s="9" t="str">
        <v>Environmental - Resource Use &amp; Circular Economy</v>
      </c>
      <c r="I399" s="12" t="str">
        <v>Disposed solid waste</v>
      </c>
      <c r="J399" s="9" t="str">
        <v>This indicator measures the solid waste disposed (not recycled).</v>
      </c>
      <c r="K399" s="9" t="str">
        <v>Quantitative</v>
      </c>
      <c r="L399" s="9" t="str">
        <v>unit of mass</v>
      </c>
      <c r="M399" s="9" t="str">
        <v>-</v>
      </c>
      <c r="N399" s="9">
        <v>1</v>
      </c>
      <c r="O399" s="9" t="str">
        <v>Kravchenko et al. 2019</v>
      </c>
      <c r="P399" s="9" t="str">
        <v>Company</v>
      </c>
      <c r="Q399" s="9" t="str">
        <v>13 Manufacture of textiles; 28 Manufacture of machinery and equipment n.e.c.; 31 Manufacture of furniture</v>
      </c>
      <c r="R399" s="9" t="str">
        <v>not specified</v>
      </c>
      <c r="S399" s="9" t="str">
        <v>Micro; Large</v>
      </c>
    </row>
    <row r="400" spans="1:19" ht="51.5" customHeight="1" x14ac:dyDescent="0.35">
      <c r="A400" s="9" t="str">
        <v>42-040</v>
      </c>
      <c r="B400" s="9" t="str">
        <v>Output</v>
      </c>
      <c r="C400" s="9" t="str">
        <v>Waste</v>
      </c>
      <c r="D400" s="9" t="str">
        <v>Output - Waste</v>
      </c>
      <c r="E400" s="9">
        <v>0</v>
      </c>
      <c r="F400" s="9" t="str">
        <v>x</v>
      </c>
      <c r="G400" s="9" t="str">
        <v>Resource Use &amp; Circular Economy</v>
      </c>
      <c r="H400" s="9" t="str">
        <v>Environmental - Resource Use &amp; Circular Economy</v>
      </c>
      <c r="I400" s="12" t="str">
        <v>Waste to landfill</v>
      </c>
      <c r="J400" s="9" t="str">
        <v>This indicator measures the amount of waste directed to landfill.</v>
      </c>
      <c r="K400" s="9" t="str">
        <v>Quantitative</v>
      </c>
      <c r="L400" s="9" t="str">
        <v>unit of mass</v>
      </c>
      <c r="M400" s="9" t="str">
        <v>-</v>
      </c>
      <c r="N400" s="9">
        <v>5</v>
      </c>
      <c r="O400" s="9" t="str">
        <v>Bao &amp; Bodapati 2012; Eastwood &amp; Haapala 2015; Kravchenko et al. 2019; Singh et al. 2007b; ISO14031</v>
      </c>
      <c r="P400" s="9" t="str">
        <v>Company; Factory; Process</v>
      </c>
      <c r="Q400" s="9" t="str">
        <v>13 Manufacture of textiles; 26 Manufacture of computer, electronic and optical products; 28 Manufacture of machinery and equipment n.e.c.; 29 Manufacture of motor vehicles, trailers and semi-trailers; 30 Manufacture of other transport equipment; 31 Manufacture of furniture; not specified</v>
      </c>
      <c r="R400" s="9" t="str">
        <v>Original forming; Separating; Joining; Coating and finishing; Change of material properties; not specified</v>
      </c>
      <c r="S400" s="9" t="str">
        <v>Micro; Large; not specified</v>
      </c>
    </row>
    <row r="401" spans="1:19" ht="51.5" customHeight="1" x14ac:dyDescent="0.35">
      <c r="A401" s="9" t="str">
        <v>42-041</v>
      </c>
      <c r="B401" s="9" t="str">
        <v>Output</v>
      </c>
      <c r="C401" s="9" t="str">
        <v>Waste</v>
      </c>
      <c r="D401" s="9" t="str">
        <v>Output - Waste</v>
      </c>
      <c r="E401" s="9">
        <v>0</v>
      </c>
      <c r="F401" s="9" t="str">
        <v>x</v>
      </c>
      <c r="G401" s="9" t="str">
        <v>Resource Use &amp; Circular Economy</v>
      </c>
      <c r="H401" s="9" t="str">
        <v>Environmental - Resource Use &amp; Circular Economy</v>
      </c>
      <c r="I401" s="12" t="str">
        <v>Packaging to Landfill</v>
      </c>
      <c r="J401" s="9" t="str">
        <v>This indicator measures the total mass of packaging used that goes to landfill (i.e. packaging that is not reused or recycled). It can also be measured as a percentage to the total packaging used.</v>
      </c>
      <c r="K401" s="9" t="str">
        <v>Quantitative</v>
      </c>
      <c r="L401" s="9" t="str">
        <v>unit of mass</v>
      </c>
      <c r="M401" s="9" t="str">
        <v>-</v>
      </c>
      <c r="N401" s="9">
        <v>1</v>
      </c>
      <c r="O401" s="9" t="str">
        <v>Kravchenko et al. 2019</v>
      </c>
      <c r="P401" s="9" t="str">
        <v>Company</v>
      </c>
      <c r="Q401" s="9" t="str">
        <v>13 Manufacture of textiles; 28 Manufacture of machinery and equipment n.e.c.; 31 Manufacture of furniture</v>
      </c>
      <c r="R401" s="9" t="str">
        <v>not specified</v>
      </c>
      <c r="S401" s="9" t="str">
        <v>Micro; Large</v>
      </c>
    </row>
    <row r="402" spans="1:19" ht="51.5" customHeight="1" x14ac:dyDescent="0.35">
      <c r="A402" s="9" t="str">
        <v>42-042</v>
      </c>
      <c r="B402" s="9" t="str">
        <v>Output</v>
      </c>
      <c r="C402" s="9" t="str">
        <v>Waste</v>
      </c>
      <c r="D402" s="9" t="str">
        <v>Output - Waste</v>
      </c>
      <c r="E402" s="9">
        <v>0</v>
      </c>
      <c r="F402" s="9" t="str">
        <v>x</v>
      </c>
      <c r="G402" s="9" t="str">
        <v>Resource Use &amp; Circular Economy</v>
      </c>
      <c r="H402" s="9" t="str">
        <v>Environmental - Resource Use &amp; Circular Economy</v>
      </c>
      <c r="I402" s="12" t="str">
        <v>Recycled waste</v>
      </c>
      <c r="J402" s="9" t="str">
        <v>This indicator measures the mass of recycled waste. It can also be measured as a ratio to the total waste.</v>
      </c>
      <c r="K402" s="9" t="str">
        <v>Quantitative</v>
      </c>
      <c r="L402" s="9" t="str">
        <v>unit of mass</v>
      </c>
      <c r="M402" s="9" t="str">
        <v>-</v>
      </c>
      <c r="N402" s="9">
        <v>11</v>
      </c>
      <c r="O402" s="9" t="str">
        <v>Bao &amp; Bodapati 2012; Butnariu &amp; Avasilcai 2015; Cagno et al. 2019; Dočekalová &amp; Kocmanová 2016; Eastwood &amp; Haapala 2015; Feil et al. 2017; Hartini et al. 2020; Mengistu &amp; Panizzolo 2023a; Pinto et al. 2020; Rao et al. 2006; Taddese et al. 2020</v>
      </c>
      <c r="P402" s="9" t="str">
        <v>Company; Factory; Process</v>
      </c>
      <c r="Q402" s="9" t="str">
        <v>13 Manufacture of textiles; 24 Manufacture of basic metals; 25 Manufacture of fabricated metal products, except machinery and equipment; 26 Manufacture of computer, electronic and optical products; 27 Manufacture of electrical equipment; 28 Manufacture of machinery and equipment n.e.c.; 29 Manufacture of motor vehicles, trailers and semi-trailers; 30 Manufacture of other transport equipment; 31 Manufacture of furniture; 32 Other manufacturing; not specified</v>
      </c>
      <c r="R402" s="9" t="str">
        <v>Original forming; Separating; Joining; Coating and finishing; Change of material properties; not specified</v>
      </c>
      <c r="S402" s="9" t="str">
        <v>Micro; Small; Medium; Large; not specified</v>
      </c>
    </row>
    <row r="403" spans="1:19" ht="51.5" customHeight="1" x14ac:dyDescent="0.35">
      <c r="A403" s="9" t="str">
        <v>42-043</v>
      </c>
      <c r="B403" s="9" t="str">
        <v>Output</v>
      </c>
      <c r="C403" s="9" t="str">
        <v>Waste</v>
      </c>
      <c r="D403" s="9" t="str">
        <v>Output - Waste</v>
      </c>
      <c r="E403" s="9">
        <v>0</v>
      </c>
      <c r="F403" s="9" t="str">
        <v>x</v>
      </c>
      <c r="G403" s="9" t="str">
        <v>Resource Use &amp; Circular Economy</v>
      </c>
      <c r="H403" s="9" t="str">
        <v>Environmental - Resource Use &amp; Circular Economy</v>
      </c>
      <c r="I403" s="12" t="str">
        <v>Recycled by-products</v>
      </c>
      <c r="J403" s="9" t="str">
        <v>This indicator measures the amount of recycled by-products to the total amount of by-products generated.</v>
      </c>
      <c r="K403" s="9" t="str">
        <v>Quantitative</v>
      </c>
      <c r="L403" s="9" t="str">
        <v>%</v>
      </c>
      <c r="M403" s="9" t="str">
        <v>-</v>
      </c>
      <c r="N403" s="9">
        <v>1</v>
      </c>
      <c r="O403" s="9" t="str">
        <v>Kravchenko et al. 2019</v>
      </c>
      <c r="P403" s="9" t="str">
        <v>Company</v>
      </c>
      <c r="Q403" s="9" t="str">
        <v>13 Manufacture of textiles; 28 Manufacture of machinery and equipment n.e.c.; 31 Manufacture of furniture</v>
      </c>
      <c r="R403" s="9" t="str">
        <v>not specified</v>
      </c>
      <c r="S403" s="9" t="str">
        <v>Micro; Large</v>
      </c>
    </row>
    <row r="404" spans="1:19" ht="51.5" customHeight="1" x14ac:dyDescent="0.35">
      <c r="A404" s="9" t="str">
        <v>42-044</v>
      </c>
      <c r="B404" s="9" t="str">
        <v>Output</v>
      </c>
      <c r="C404" s="9" t="str">
        <v>Waste</v>
      </c>
      <c r="D404" s="9" t="str">
        <v>Output - Waste</v>
      </c>
      <c r="E404" s="9" t="str">
        <v>x</v>
      </c>
      <c r="F404" s="9">
        <v>0</v>
      </c>
      <c r="G404" s="9" t="str">
        <v>Cost</v>
      </c>
      <c r="H404" s="9" t="str">
        <v>Economic - Cost</v>
      </c>
      <c r="I404" s="12" t="str">
        <v>Cost of by-product treatment</v>
      </c>
      <c r="J404" s="9" t="str">
        <v>This indicator measures the cost of by-product treatment per unit produced.</v>
      </c>
      <c r="K404" s="9" t="str">
        <v>Quantiative</v>
      </c>
      <c r="L404" s="9" t="str">
        <v>€/UOP</v>
      </c>
      <c r="M404" s="9" t="str">
        <v>-</v>
      </c>
      <c r="N404" s="9">
        <v>1</v>
      </c>
      <c r="O404" s="9" t="str">
        <v>Faulkner &amp; Badurdeen 2014</v>
      </c>
      <c r="P404" s="9" t="str">
        <v>Process</v>
      </c>
      <c r="Q404" s="9" t="str">
        <v>26 Manufacture of computer, electronic and optical products</v>
      </c>
      <c r="R404" s="9" t="str">
        <v>Original forming; Joining; Coating and finishing; Change of material properties</v>
      </c>
      <c r="S404" s="9" t="str">
        <v>not specified</v>
      </c>
    </row>
    <row r="405" spans="1:19" ht="51.5" customHeight="1" x14ac:dyDescent="0.35">
      <c r="A405" s="9" t="str">
        <v>42-045</v>
      </c>
      <c r="B405" s="9" t="str">
        <v>Output</v>
      </c>
      <c r="C405" s="9" t="str">
        <v>Waste</v>
      </c>
      <c r="D405" s="9" t="str">
        <v>Output - Waste</v>
      </c>
      <c r="E405" s="9">
        <v>0</v>
      </c>
      <c r="F405" s="9" t="str">
        <v>x</v>
      </c>
      <c r="G405" s="9" t="str">
        <v>Resource Use &amp; Circular Economy</v>
      </c>
      <c r="H405" s="9" t="str">
        <v>Environmental - Resource Use &amp; Circular Economy</v>
      </c>
      <c r="I405" s="12" t="str">
        <v>Amount of recycled defects</v>
      </c>
      <c r="J405" s="9" t="str">
        <v>This indicator measures the number of recycled defective products to the total number of defective products.</v>
      </c>
      <c r="K405" s="9" t="str">
        <v>Quantitative</v>
      </c>
      <c r="L405" s="9" t="str">
        <v>%</v>
      </c>
      <c r="M405" s="9" t="str">
        <v>-</v>
      </c>
      <c r="N405" s="9">
        <v>1</v>
      </c>
      <c r="O405" s="9" t="str">
        <v>Kravchenko et al. 2019</v>
      </c>
      <c r="P405" s="9" t="str">
        <v>Company</v>
      </c>
      <c r="Q405" s="9" t="str">
        <v>13 Manufacture of textiles; 28 Manufacture of machinery and equipment n.e.c.; 31 Manufacture of furniture</v>
      </c>
      <c r="R405" s="9" t="str">
        <v>not specified</v>
      </c>
      <c r="S405" s="9" t="str">
        <v>Micro; Large</v>
      </c>
    </row>
    <row r="406" spans="1:19" ht="51.5" customHeight="1" x14ac:dyDescent="0.35">
      <c r="A406" s="9" t="str">
        <v>42-046</v>
      </c>
      <c r="B406" s="9" t="str">
        <v>Output</v>
      </c>
      <c r="C406" s="9" t="str">
        <v>Waste</v>
      </c>
      <c r="D406" s="9" t="str">
        <v>Output - Waste</v>
      </c>
      <c r="E406" s="9">
        <v>0</v>
      </c>
      <c r="F406" s="9" t="str">
        <v>x</v>
      </c>
      <c r="G406" s="9" t="str">
        <v>Resource Use &amp; Circular Economy</v>
      </c>
      <c r="H406" s="9" t="str">
        <v>Environmental - Resource Use &amp; Circular Economy</v>
      </c>
      <c r="I406" s="12" t="str">
        <v>Amount of recycled scrap</v>
      </c>
      <c r="J406" s="9" t="str">
        <v>This indicator measures the amount of scrap recycled.</v>
      </c>
      <c r="K406" s="9" t="str">
        <v>Quantitative</v>
      </c>
      <c r="L406" s="9" t="str">
        <v>unit of mass</v>
      </c>
      <c r="M406" s="9" t="str">
        <v>-</v>
      </c>
      <c r="N406" s="9">
        <v>3</v>
      </c>
      <c r="O406" s="9" t="str">
        <v>Faulkner &amp; Badurdeen 2014; Kravchenko et al. 2019; Singh et al. 2007b</v>
      </c>
      <c r="P406" s="9" t="str">
        <v>Company; Process</v>
      </c>
      <c r="Q406" s="9" t="str">
        <v>13 Manufacture of textiles; 26 Manufacture of computer, electronic and optical products; 28 Manufacture of machinery and equipment n.e.c.; 29 Manufacture of motor vehicles, trailers and semi-trailers; 31 Manufacture of furniture</v>
      </c>
      <c r="R406" s="9" t="str">
        <v>Original forming; Separating; Joining; Coating and finishing; Change of material properties; not specified</v>
      </c>
      <c r="S406" s="9" t="str">
        <v>Micro; Large; not specified</v>
      </c>
    </row>
    <row r="407" spans="1:19" ht="51.5" customHeight="1" x14ac:dyDescent="0.35">
      <c r="A407" s="9" t="str">
        <v>42-047</v>
      </c>
      <c r="B407" s="9" t="str">
        <v>Output</v>
      </c>
      <c r="C407" s="9" t="str">
        <v>Waste</v>
      </c>
      <c r="D407" s="9" t="str">
        <v>Output - Waste</v>
      </c>
      <c r="E407" s="9">
        <v>0</v>
      </c>
      <c r="F407" s="9" t="str">
        <v>x</v>
      </c>
      <c r="G407" s="9" t="str">
        <v>Resource Use &amp; Circular Economy</v>
      </c>
      <c r="H407" s="9" t="str">
        <v>Environmental - Resource Use &amp; Circular Economy</v>
      </c>
      <c r="I407" s="12" t="str">
        <v>Recycled solid waste mass fraction</v>
      </c>
      <c r="J407" s="9" t="str">
        <v>This indicator measures the mass of recycled solid waste to the total mass of solid waste generated.</v>
      </c>
      <c r="K407" s="9" t="str">
        <v>Quantitative</v>
      </c>
      <c r="L407" s="9" t="str">
        <v>%</v>
      </c>
      <c r="M407" s="9" t="str">
        <v>-</v>
      </c>
      <c r="N407" s="9">
        <v>1</v>
      </c>
      <c r="O407" s="9" t="str">
        <v>Kravchenko et al. 2019</v>
      </c>
      <c r="P407" s="9" t="str">
        <v>Company</v>
      </c>
      <c r="Q407" s="9" t="str">
        <v>13 Manufacture of textiles; 28 Manufacture of machinery and equipment n.e.c.; 31 Manufacture of furniture</v>
      </c>
      <c r="R407" s="9" t="str">
        <v>not specified</v>
      </c>
      <c r="S407" s="9" t="str">
        <v>Micro; Large</v>
      </c>
    </row>
    <row r="408" spans="1:19" ht="51.5" customHeight="1" x14ac:dyDescent="0.35">
      <c r="A408" s="9" t="str">
        <v>42-048</v>
      </c>
      <c r="B408" s="9" t="str">
        <v>Output</v>
      </c>
      <c r="C408" s="9" t="str">
        <v>Waste</v>
      </c>
      <c r="D408" s="9" t="str">
        <v>Output - Waste</v>
      </c>
      <c r="E408" s="9">
        <v>0</v>
      </c>
      <c r="F408" s="9" t="str">
        <v>x</v>
      </c>
      <c r="G408" s="9" t="str">
        <v>Resource Use &amp; Circular Economy</v>
      </c>
      <c r="H408" s="9" t="str">
        <v>Environmental - Resource Use &amp; Circular Economy</v>
      </c>
      <c r="I408" s="12" t="str">
        <v>Waste converted to Reusable Material</v>
      </c>
      <c r="J408" s="9" t="str">
        <v>This indicator measures the amount of waste generated by the production process converted to reusable material.</v>
      </c>
      <c r="K408" s="9" t="str">
        <v>Quantitative</v>
      </c>
      <c r="L408" s="9" t="str">
        <v>unit of mass</v>
      </c>
      <c r="M408" s="9" t="str">
        <v>-</v>
      </c>
      <c r="N408" s="9">
        <v>2</v>
      </c>
      <c r="O408" s="9" t="str">
        <v>Kravchenko et al. 2019; ISO14031</v>
      </c>
      <c r="P408" s="9" t="str">
        <v>Company; Factory</v>
      </c>
      <c r="Q408" s="9" t="str">
        <v>13 Manufacture of textiles; 28 Manufacture of machinery and equipment n.e.c.; 31 Manufacture of furniture; not specified</v>
      </c>
      <c r="R408" s="9" t="str">
        <v>not specified</v>
      </c>
      <c r="S408" s="9" t="str">
        <v>Micro; Large; not specified</v>
      </c>
    </row>
    <row r="409" spans="1:19" ht="51.5" customHeight="1" x14ac:dyDescent="0.35">
      <c r="A409" s="9" t="str">
        <v>42-049</v>
      </c>
      <c r="B409" s="9" t="str">
        <v>Output</v>
      </c>
      <c r="C409" s="9" t="str">
        <v>Waste</v>
      </c>
      <c r="D409" s="9" t="str">
        <v>Output - Waste</v>
      </c>
      <c r="E409" s="9">
        <v>0</v>
      </c>
      <c r="F409" s="9" t="str">
        <v>x</v>
      </c>
      <c r="G409" s="9" t="str">
        <v>Resource Use &amp; Circular Economy</v>
      </c>
      <c r="H409" s="9" t="str">
        <v>Environmental - Resource Use &amp; Circular Economy</v>
      </c>
      <c r="I409" s="12" t="str">
        <v>Reused/ recycled non-hazardous waste</v>
      </c>
      <c r="J409" s="9" t="str">
        <v>This indicator measures the mass of reused or recycled non-hazardous waste.</v>
      </c>
      <c r="K409" s="9" t="str">
        <v>Quantitative</v>
      </c>
      <c r="L409" s="9" t="str">
        <v>unit of mass</v>
      </c>
      <c r="M409" s="9" t="str">
        <v>-</v>
      </c>
      <c r="N409" s="9">
        <v>2</v>
      </c>
      <c r="O409" s="9" t="str">
        <v>Huang &amp; Badurdeen 2017; Kaldas et al. 2021</v>
      </c>
      <c r="P409" s="9" t="str">
        <v>Company</v>
      </c>
      <c r="Q409" s="9" t="str">
        <v>26 Manufacture of computer, electronic and optical products; not specified</v>
      </c>
      <c r="R409" s="9" t="str">
        <v>Original forming; Joining; Coating and finishing; Change of material properties; not specified</v>
      </c>
      <c r="S409" s="9" t="str">
        <v>not specified</v>
      </c>
    </row>
    <row r="410" spans="1:19" ht="51.5" customHeight="1" x14ac:dyDescent="0.35">
      <c r="A410" s="9" t="str">
        <v>42-050</v>
      </c>
      <c r="B410" s="9" t="str">
        <v>Output</v>
      </c>
      <c r="C410" s="9" t="str">
        <v>Waste</v>
      </c>
      <c r="D410" s="9" t="str">
        <v>Output - Waste</v>
      </c>
      <c r="E410" s="9">
        <v>0</v>
      </c>
      <c r="F410" s="9" t="str">
        <v>x</v>
      </c>
      <c r="G410" s="9" t="str">
        <v>Resource Use &amp; Circular Economy</v>
      </c>
      <c r="H410" s="9" t="str">
        <v>Environmental - Resource Use &amp; Circular Economy</v>
      </c>
      <c r="I410" s="12" t="str">
        <v>Reused/ recycled hazardous waste</v>
      </c>
      <c r="J410" s="9" t="str">
        <v>This indicator measures the mass of reused or recycled hazardous waste.</v>
      </c>
      <c r="K410" s="9" t="str">
        <v>Quantitative</v>
      </c>
      <c r="L410" s="9" t="str">
        <v>unit of mass</v>
      </c>
      <c r="M410" s="9" t="str">
        <v>-</v>
      </c>
      <c r="N410" s="9">
        <v>2</v>
      </c>
      <c r="O410" s="9" t="str">
        <v>Huang &amp; Badurdeen 2017; Kaldas et al. 2021</v>
      </c>
      <c r="P410" s="9" t="str">
        <v>Company</v>
      </c>
      <c r="Q410" s="9" t="str">
        <v>26 Manufacture of computer, electronic and optical products; not specified</v>
      </c>
      <c r="R410" s="9" t="str">
        <v>Original forming; Joining; Coating and finishing; Change of material properties; not specified</v>
      </c>
      <c r="S410" s="9" t="str">
        <v>not specified</v>
      </c>
    </row>
    <row r="411" spans="1:19" ht="51.5" customHeight="1" x14ac:dyDescent="0.35">
      <c r="A411" s="9" t="str">
        <v>42-051</v>
      </c>
      <c r="B411" s="9" t="str">
        <v>Output</v>
      </c>
      <c r="C411" s="9" t="str">
        <v>Waste</v>
      </c>
      <c r="D411" s="9" t="str">
        <v>Output - Waste</v>
      </c>
      <c r="E411" s="9">
        <v>0</v>
      </c>
      <c r="F411" s="9" t="str">
        <v>x</v>
      </c>
      <c r="G411" s="9" t="str">
        <v>Resource Use &amp; Circular Economy</v>
      </c>
      <c r="H411" s="9" t="str">
        <v>Environmental - Resource Use &amp; Circular Economy</v>
      </c>
      <c r="I411" s="12" t="str">
        <v>Reused solid waste</v>
      </c>
      <c r="J411" s="9" t="str">
        <v>This indicator measures the mass of reused solid weight.</v>
      </c>
      <c r="K411" s="9" t="str">
        <v>Quantitative</v>
      </c>
      <c r="L411" s="9" t="str">
        <v>unit of mass</v>
      </c>
      <c r="M411" s="9" t="str">
        <v>-</v>
      </c>
      <c r="N411" s="9">
        <v>2</v>
      </c>
      <c r="O411" s="9" t="str">
        <v>Long et al. 2016; Singh et al. 2007a</v>
      </c>
      <c r="P411" s="9" t="str">
        <v>Company</v>
      </c>
      <c r="Q411" s="9" t="str">
        <v>24 Manufacture of basic metals</v>
      </c>
      <c r="R411" s="9" t="str">
        <v>not specified</v>
      </c>
      <c r="S411" s="9" t="str">
        <v>Large</v>
      </c>
    </row>
    <row r="412" spans="1:19" ht="51.5" customHeight="1" x14ac:dyDescent="0.35">
      <c r="A412" s="9" t="str">
        <v>42-052</v>
      </c>
      <c r="B412" s="9" t="str">
        <v>Output</v>
      </c>
      <c r="C412" s="9" t="str">
        <v>Waste</v>
      </c>
      <c r="D412" s="9" t="str">
        <v>Output - Waste</v>
      </c>
      <c r="E412" s="9">
        <v>0</v>
      </c>
      <c r="F412" s="9" t="str">
        <v>x</v>
      </c>
      <c r="G412" s="9" t="str">
        <v>Resource Use &amp; Circular Economy</v>
      </c>
      <c r="H412" s="9" t="str">
        <v>Environmental - Resource Use &amp; Circular Economy</v>
      </c>
      <c r="I412" s="12" t="str">
        <v>Reused/ recycled consumables</v>
      </c>
      <c r="J412" s="9" t="str">
        <v>This indicator measures the mass of reused or recycled consumables.</v>
      </c>
      <c r="K412" s="9" t="str">
        <v>Quantitative</v>
      </c>
      <c r="L412" s="9" t="str">
        <v>unit of mass</v>
      </c>
      <c r="M412" s="9" t="str">
        <v>-</v>
      </c>
      <c r="N412" s="9">
        <v>2</v>
      </c>
      <c r="O412" s="9" t="str">
        <v>Faulkner &amp; Badurdeen 2014; Huang &amp; Badurdeen 2018</v>
      </c>
      <c r="P412" s="9" t="str">
        <v>Factory; Production line; Process</v>
      </c>
      <c r="Q412" s="9" t="str">
        <v>26 Manufacture of computer, electronic and optical products</v>
      </c>
      <c r="R412" s="9" t="str">
        <v>Original forming; Joining; Coating and finishing; Change of material properties</v>
      </c>
      <c r="S412" s="9" t="str">
        <v>not specified</v>
      </c>
    </row>
    <row r="413" spans="1:19" ht="51.5" customHeight="1" x14ac:dyDescent="0.35">
      <c r="A413" s="9" t="str">
        <v>42-053</v>
      </c>
      <c r="B413" s="9" t="str">
        <v>Output</v>
      </c>
      <c r="C413" s="9" t="str">
        <v>Waste</v>
      </c>
      <c r="D413" s="9" t="str">
        <v>Output - Waste</v>
      </c>
      <c r="E413" s="9">
        <v>0</v>
      </c>
      <c r="F413" s="9" t="str">
        <v>x</v>
      </c>
      <c r="G413" s="9" t="str">
        <v>Resource Use &amp; Circular Economy</v>
      </c>
      <c r="H413" s="9" t="str">
        <v>Environmental - Resource Use &amp; Circular Economy</v>
      </c>
      <c r="I413" s="12" t="str">
        <v>Reused/ recycled restricted material</v>
      </c>
      <c r="J413" s="9" t="str">
        <v>This indicator measures the mass of reused or recycled restricted material.</v>
      </c>
      <c r="K413" s="9" t="str">
        <v>Quantitative</v>
      </c>
      <c r="L413" s="9" t="str">
        <v>unit of mass</v>
      </c>
      <c r="M413" s="9" t="str">
        <v>-</v>
      </c>
      <c r="N413" s="9">
        <v>1</v>
      </c>
      <c r="O413" s="9" t="str">
        <v>Huang &amp; Badurdeen 2018</v>
      </c>
      <c r="P413" s="9" t="str">
        <v>Factory; Production line</v>
      </c>
      <c r="Q413" s="9" t="str">
        <v>26 Manufacture of computer, electronic and optical products</v>
      </c>
      <c r="R413" s="9" t="str">
        <v>Original forming; Joining; Coating and finishing; Change of material properties</v>
      </c>
      <c r="S413" s="9" t="str">
        <v>not specified</v>
      </c>
    </row>
    <row r="414" spans="1:19" ht="51.5" customHeight="1" x14ac:dyDescent="0.35">
      <c r="A414" s="9" t="str">
        <v>42-054</v>
      </c>
      <c r="B414" s="9" t="str">
        <v>Output</v>
      </c>
      <c r="C414" s="9" t="str">
        <v>Waste</v>
      </c>
      <c r="D414" s="9" t="str">
        <v>Output - Waste</v>
      </c>
      <c r="E414" s="9">
        <v>0</v>
      </c>
      <c r="F414" s="9" t="str">
        <v>x</v>
      </c>
      <c r="G414" s="9" t="str">
        <v>Resource Use &amp; Circular Economy</v>
      </c>
      <c r="H414" s="9" t="str">
        <v>Environmental - Resource Use &amp; Circular Economy</v>
      </c>
      <c r="I414" s="12" t="str">
        <v>Reused/ recycled raw material recovered</v>
      </c>
      <c r="J414" s="9" t="str">
        <v>This indicator measures the mass of reused or recycled raw material recovered.</v>
      </c>
      <c r="K414" s="9" t="str">
        <v>Quantitative</v>
      </c>
      <c r="L414" s="9" t="str">
        <v>unit of mass</v>
      </c>
      <c r="M414" s="9" t="str">
        <v>-</v>
      </c>
      <c r="N414" s="9">
        <v>1</v>
      </c>
      <c r="O414" s="9" t="str">
        <v>Huang &amp; Badurdeen 2018</v>
      </c>
      <c r="P414" s="9" t="str">
        <v>Factory; Production line</v>
      </c>
      <c r="Q414" s="9" t="str">
        <v>26 Manufacture of computer, electronic and optical products</v>
      </c>
      <c r="R414" s="9" t="str">
        <v>Original forming; Joining; Coating and finishing; Change of material properties</v>
      </c>
      <c r="S414" s="9" t="str">
        <v>not specified</v>
      </c>
    </row>
    <row r="415" spans="1:19" ht="51.5" customHeight="1" x14ac:dyDescent="0.35">
      <c r="A415" s="9" t="str">
        <v>42-055</v>
      </c>
      <c r="B415" s="9" t="str">
        <v>Output</v>
      </c>
      <c r="C415" s="9" t="str">
        <v>Waste</v>
      </c>
      <c r="D415" s="9" t="str">
        <v>Output - Waste</v>
      </c>
      <c r="E415" s="9">
        <v>0</v>
      </c>
      <c r="F415" s="9" t="str">
        <v>x</v>
      </c>
      <c r="G415" s="9" t="str">
        <v>Water &amp; Marine Resources</v>
      </c>
      <c r="H415" s="9" t="str">
        <v>Environmental - Water &amp; Marine Resources</v>
      </c>
      <c r="I415" s="12" t="str">
        <v>Water discharged</v>
      </c>
      <c r="J415" s="9" t="str">
        <v>This indicator measures the volume of water discharged. It can be measured in total or by quality and destination.</v>
      </c>
      <c r="K415" s="9" t="str">
        <v>Quantitative</v>
      </c>
      <c r="L415" s="9" t="str">
        <v>L</v>
      </c>
      <c r="M415" s="9" t="str">
        <v>303-4</v>
      </c>
      <c r="N415" s="9">
        <v>7</v>
      </c>
      <c r="O415" s="9" t="str">
        <v>Barni et al. 2022; Eastwood &amp; Haapala 2015; Fan et al. 2010; Li et al. 2012; Garza-Reyes et al. 2018; Moldavska &amp; Welo 2018; Zarte et al. 2019</v>
      </c>
      <c r="P415" s="9" t="str">
        <v>Company; Factory; Process</v>
      </c>
      <c r="Q415" s="9" t="str">
        <v>22 Manufacture of rubber and plastic products; 26 Manufacture of computer, electronic and optical products; 28 Manufacture of machinery and equipment n.e.c.; 29 Manufacture of motor vehicles, trailers and semi-trailers; 30 Manufacture of other transport equipment; not specified</v>
      </c>
      <c r="R415" s="9" t="str">
        <v>Transforming; Separating; Joining; Coating and finishing; Change of material properties; not specified</v>
      </c>
      <c r="S415" s="9" t="str">
        <v>Small; Medium; Large; not specified</v>
      </c>
    </row>
    <row r="416" spans="1:19" ht="51.5" customHeight="1" x14ac:dyDescent="0.35">
      <c r="A416" s="9" t="str">
        <v>42-056</v>
      </c>
      <c r="B416" s="9" t="str">
        <v>Output</v>
      </c>
      <c r="C416" s="9" t="str">
        <v>Waste</v>
      </c>
      <c r="D416" s="9" t="str">
        <v>Output - Waste</v>
      </c>
      <c r="E416" s="9">
        <v>0</v>
      </c>
      <c r="F416" s="9" t="str">
        <v>x</v>
      </c>
      <c r="G416" s="9" t="str">
        <v>Water &amp; Marine Resources</v>
      </c>
      <c r="H416" s="9" t="str">
        <v>Environmental - Water &amp; Marine Resources</v>
      </c>
      <c r="I416" s="12" t="str">
        <v>Water discharge intensity</v>
      </c>
      <c r="J416" s="9" t="str">
        <v>This indicator measures the ratio of the mass of water discharged to a normalization factor (NF). The NF can, e.g., be the number of units produced.</v>
      </c>
      <c r="K416" s="9" t="str">
        <v>Quantitative</v>
      </c>
      <c r="L416" s="9" t="str">
        <v>L/NF</v>
      </c>
      <c r="M416" s="9" t="str">
        <v>-</v>
      </c>
      <c r="N416" s="9">
        <v>1</v>
      </c>
      <c r="O416" s="9" t="str">
        <v>OECD</v>
      </c>
      <c r="P416" s="9" t="str">
        <v>Factory; Production line; Work cell; Process</v>
      </c>
      <c r="Q416" s="9" t="str">
        <v>not specified</v>
      </c>
      <c r="R416" s="9" t="str">
        <v>not specified</v>
      </c>
      <c r="S416" s="9" t="str">
        <v>Small; Medium</v>
      </c>
    </row>
    <row r="417" spans="1:19" ht="51.5" customHeight="1" x14ac:dyDescent="0.35">
      <c r="A417" s="9" t="str">
        <v>42-057</v>
      </c>
      <c r="B417" s="9" t="str">
        <v>Output</v>
      </c>
      <c r="C417" s="9" t="str">
        <v>Waste</v>
      </c>
      <c r="D417" s="9" t="str">
        <v>Output - Waste</v>
      </c>
      <c r="E417" s="9">
        <v>0</v>
      </c>
      <c r="F417" s="9" t="str">
        <v>x</v>
      </c>
      <c r="G417" s="9" t="str">
        <v>Water &amp; Marine Resources</v>
      </c>
      <c r="H417" s="9" t="str">
        <v>Environmental - Water &amp; Marine Resources</v>
      </c>
      <c r="I417" s="12" t="str">
        <v>Wastewater discharged</v>
      </c>
      <c r="J417" s="9" t="str">
        <v>This indicator measures the volume of industrial sewage (used water) released.</v>
      </c>
      <c r="K417" s="9" t="str">
        <v>Quantitative</v>
      </c>
      <c r="L417" s="9" t="str">
        <v>L</v>
      </c>
      <c r="M417" s="9" t="str">
        <v>-</v>
      </c>
      <c r="N417" s="9">
        <v>14</v>
      </c>
      <c r="O417" s="9" t="str">
        <v>Akbar &amp; Irohara 2018; Amrina &amp; Yusof 2011; Butnariu &amp; Avasilcai 2015; Cagno et al. 2019; Dočekalová &amp; Kocmanová 2016; Feil et al. 2019; Gani et al. 2021; Jiang et al. 2018; Mengistu &amp; Panizzolo 2023a; Paju et al. 2011; Pinto et al. 2020; Rao 2008; Singh et al. 2014; Tan et al. 2015</v>
      </c>
      <c r="P417" s="9" t="str">
        <v>Company; Production line; Work cell; Process</v>
      </c>
      <c r="Q417" s="9" t="str">
        <v>13 Manufacture of textiles; 24 Manufacture of basic metals; 25 Manufacture of fabricated metal products, except machinery and equipment; 27 Manufacture of electrical equipment; 28 Manufacture of machinery and equipment n.e.c.; 29 Manufacture of motor vehicles, trailers and semi-trailers; 30 Manufacture of other transport equipment; 31 Manufacture of furniture; not specified</v>
      </c>
      <c r="R417" s="9" t="str">
        <v>Original forming; Transforming; Separating; Joining; Coating and finishing; not specified</v>
      </c>
      <c r="S417" s="9" t="str">
        <v>Small; Medium; Large; not specified</v>
      </c>
    </row>
    <row r="418" spans="1:19" ht="51.5" customHeight="1" x14ac:dyDescent="0.35">
      <c r="A418" s="9" t="str">
        <v>42-058</v>
      </c>
      <c r="B418" s="9" t="str">
        <v>Output</v>
      </c>
      <c r="C418" s="9" t="str">
        <v>Waste</v>
      </c>
      <c r="D418" s="9" t="str">
        <v>Output - Waste</v>
      </c>
      <c r="E418" s="9">
        <v>0</v>
      </c>
      <c r="F418" s="9" t="str">
        <v>x</v>
      </c>
      <c r="G418" s="9" t="str">
        <v>Water &amp; Marine Resources</v>
      </c>
      <c r="H418" s="9" t="str">
        <v>Environmental - Water &amp; Marine Resources</v>
      </c>
      <c r="I418" s="12" t="str">
        <v>Wastewater intensity</v>
      </c>
      <c r="J418" s="9" t="str">
        <v>This indicator measures the ratio of the mass of wastewater discharged to a normalization factor (NF). The NF can, e.g., be the number of units produced.</v>
      </c>
      <c r="K418" s="9" t="str">
        <v>Quantitative</v>
      </c>
      <c r="L418" s="9" t="str">
        <v>L/NF</v>
      </c>
      <c r="M418" s="9" t="str">
        <v>-</v>
      </c>
      <c r="N418" s="9">
        <v>3</v>
      </c>
      <c r="O418" s="9" t="str">
        <v>Beekaroo et al. 2019; Singh et al. 2007a; Singh et al. 2007b</v>
      </c>
      <c r="P418" s="9" t="str">
        <v>Company; Process</v>
      </c>
      <c r="Q418" s="9" t="str">
        <v>13 Manufacture of textiles; 24 Manufacture of basic metals; 29 Manufacture of motor vehicles, trailers and semi-trailers; not specified</v>
      </c>
      <c r="R418" s="9" t="str">
        <v>Original forming; Separating; Change of material properties; not specified</v>
      </c>
      <c r="S418" s="9" t="str">
        <v>Large; not specified</v>
      </c>
    </row>
    <row r="419" spans="1:19" ht="51.5" customHeight="1" x14ac:dyDescent="0.35">
      <c r="A419" s="9" t="str">
        <v>42-059</v>
      </c>
      <c r="B419" s="9" t="str">
        <v>Output</v>
      </c>
      <c r="C419" s="9" t="str">
        <v>Waste</v>
      </c>
      <c r="D419" s="9" t="str">
        <v>Output - Waste</v>
      </c>
      <c r="E419" s="9">
        <v>0</v>
      </c>
      <c r="F419" s="9" t="str">
        <v>x</v>
      </c>
      <c r="G419" s="9" t="str">
        <v>Water &amp; Marine Resources</v>
      </c>
      <c r="H419" s="9" t="str">
        <v>Environmental - Water &amp; Marine Resources</v>
      </c>
      <c r="I419" s="12" t="str">
        <v>Wastewater treatment rate</v>
      </c>
      <c r="J419" s="9" t="str">
        <v>This indicator measures the quantity of treated wastewater (before being released) to the total quantity of wastewater.</v>
      </c>
      <c r="K419" s="9" t="str">
        <v>Quantitative</v>
      </c>
      <c r="L419" s="9" t="str">
        <v>%</v>
      </c>
      <c r="M419" s="9" t="str">
        <v>-</v>
      </c>
      <c r="N419" s="9">
        <v>3</v>
      </c>
      <c r="O419" s="9" t="str">
        <v>Feil et al. 2017; Hartini et al. 2020; Kravchenko et al. 2019</v>
      </c>
      <c r="P419" s="9" t="str">
        <v>Company; Factory</v>
      </c>
      <c r="Q419" s="9" t="str">
        <v>13 Manufacture of textiles; 28 Manufacture of machinery and equipment n.e.c.; 31 Manufacture of furniture</v>
      </c>
      <c r="R419" s="9" t="str">
        <v>Separating; Joining; Coating and finishing; not specified</v>
      </c>
      <c r="S419" s="9" t="str">
        <v>Micro; Small; Medium; Large; not specified</v>
      </c>
    </row>
    <row r="420" spans="1:19" ht="51.5" customHeight="1" x14ac:dyDescent="0.35">
      <c r="A420" s="9" t="str">
        <v>42-060</v>
      </c>
      <c r="B420" s="9" t="str">
        <v>Output</v>
      </c>
      <c r="C420" s="9" t="str">
        <v>Waste</v>
      </c>
      <c r="D420" s="9" t="str">
        <v>Output - Waste</v>
      </c>
      <c r="E420" s="9">
        <v>0</v>
      </c>
      <c r="F420" s="9" t="str">
        <v>x</v>
      </c>
      <c r="G420" s="9" t="str">
        <v>Pollution</v>
      </c>
      <c r="H420" s="9" t="str">
        <v>Environmental - Pollution</v>
      </c>
      <c r="I420" s="12" t="str">
        <v>Specific pollutants of water discharged</v>
      </c>
      <c r="J420" s="9" t="str">
        <v>This indicator measures the load mass of pollutants in water, such as phosphorus, nitrogen, and lead.</v>
      </c>
      <c r="K420" s="9" t="str">
        <v>Quantitative</v>
      </c>
      <c r="L420" s="9" t="str">
        <v>g/m³</v>
      </c>
      <c r="M420" s="9" t="str">
        <v>-</v>
      </c>
      <c r="N420" s="9">
        <v>6</v>
      </c>
      <c r="O420" s="9" t="str">
        <v>Butnariu &amp; Avasilcai 2015; Garza-Reyes et al. 2018; Kravchenko et al. 2019; Swarnakar et al. 2021; Swarnakar et al. 2022; ISO14031</v>
      </c>
      <c r="P420" s="9" t="str">
        <v>Company; Factory; Process</v>
      </c>
      <c r="Q420" s="9" t="str">
        <v>13 Manufacture of textiles; 28 Manufacture of machinery and equipment n.e.c.; 29 Manufacture of motor vehicles, trailers and semi-trailers; 31 Manufacture of furniture; not specified</v>
      </c>
      <c r="R420" s="9" t="str">
        <v>Transforming; Separating; Coating and finishing; Change of material properties; not specified</v>
      </c>
      <c r="S420" s="9" t="str">
        <v>Micro; Large; not specified</v>
      </c>
    </row>
    <row r="421" spans="1:19" ht="51.5" customHeight="1" x14ac:dyDescent="0.35">
      <c r="A421" s="9" t="str">
        <v>42-061</v>
      </c>
      <c r="B421" s="9" t="str">
        <v>Output</v>
      </c>
      <c r="C421" s="9" t="str">
        <v>Waste</v>
      </c>
      <c r="D421" s="9" t="str">
        <v>Output - Waste</v>
      </c>
      <c r="E421" s="9">
        <v>0</v>
      </c>
      <c r="F421" s="9" t="str">
        <v>x</v>
      </c>
      <c r="G421" s="9" t="str">
        <v>Pollution</v>
      </c>
      <c r="H421" s="9" t="str">
        <v>Environmental - Pollution</v>
      </c>
      <c r="I421" s="12" t="str">
        <v>COD (Chemical Oxygen Demand) emissions</v>
      </c>
      <c r="J421" s="9" t="str">
        <v>This indicator measures the COD discharged in ppm in effluent.</v>
      </c>
      <c r="K421" s="9" t="str">
        <v>Quantitative</v>
      </c>
      <c r="L421" s="9" t="str">
        <v>ppm in effluent</v>
      </c>
      <c r="M421" s="9" t="str">
        <v>-</v>
      </c>
      <c r="N421" s="9">
        <v>4</v>
      </c>
      <c r="O421" s="9" t="str">
        <v>Butnariu &amp; Avasilcai 2015; Cagno et al. 2019; Kravchenko et al. 2019; Long et al. 2016</v>
      </c>
      <c r="P421" s="9" t="str">
        <v>Company</v>
      </c>
      <c r="Q421" s="9" t="str">
        <v>13 Manufacture of textiles; 24 Manufacture of basic metals; 28 Manufacture of machinery and equipment n.e.c.; 31 Manufacture of furniture</v>
      </c>
      <c r="R421" s="9" t="str">
        <v>not specified</v>
      </c>
      <c r="S421" s="9" t="str">
        <v>Micro; Small; Medium; Large; not specified</v>
      </c>
    </row>
    <row r="422" spans="1:19" ht="51.5" customHeight="1" x14ac:dyDescent="0.35">
      <c r="A422" s="9" t="str">
        <v>42-062</v>
      </c>
      <c r="B422" s="9" t="str">
        <v>Output</v>
      </c>
      <c r="C422" s="9" t="str">
        <v>Waste</v>
      </c>
      <c r="D422" s="9" t="str">
        <v>Output - Waste</v>
      </c>
      <c r="E422" s="9">
        <v>0</v>
      </c>
      <c r="F422" s="9" t="str">
        <v>x</v>
      </c>
      <c r="G422" s="9" t="str">
        <v>Pollution</v>
      </c>
      <c r="H422" s="9" t="str">
        <v>Environmental - Pollution</v>
      </c>
      <c r="I422" s="12" t="str">
        <v>BOD (Biological/ Biochemical Oxygen Demand) emissions</v>
      </c>
      <c r="J422" s="9" t="str">
        <v>This indicator measures the BOD discharged in ppm in effluent.</v>
      </c>
      <c r="K422" s="9" t="str">
        <v>Quantitative</v>
      </c>
      <c r="L422" s="9" t="str">
        <v>ppm in effluent</v>
      </c>
      <c r="M422" s="9" t="str">
        <v>-</v>
      </c>
      <c r="N422" s="9">
        <v>3</v>
      </c>
      <c r="O422" s="9" t="str">
        <v>Butnariu &amp; Avasilcai 2015; Cagno et al. 2019; Kravchenko et al. 2019</v>
      </c>
      <c r="P422" s="9" t="str">
        <v>Company</v>
      </c>
      <c r="Q422" s="9" t="str">
        <v>13 Manufacture of textiles; 24 Manufacture of basic metals; 28 Manufacture of machinery and equipment n.e.c.; 31 Manufacture of furniture</v>
      </c>
      <c r="R422" s="9" t="str">
        <v>not specified</v>
      </c>
      <c r="S422" s="9" t="str">
        <v>Micro; Small; Medium; Large; not specified</v>
      </c>
    </row>
    <row r="423" spans="1:19" ht="51.5" customHeight="1" x14ac:dyDescent="0.35">
      <c r="A423" s="9" t="str">
        <v>42-063</v>
      </c>
      <c r="B423" s="9" t="str">
        <v>Output</v>
      </c>
      <c r="C423" s="9" t="str">
        <v>Waste</v>
      </c>
      <c r="D423" s="9" t="str">
        <v>Output - Waste</v>
      </c>
      <c r="E423" s="9">
        <v>0</v>
      </c>
      <c r="F423" s="9" t="str">
        <v>x</v>
      </c>
      <c r="G423" s="9" t="str">
        <v>Pollution</v>
      </c>
      <c r="H423" s="9" t="str">
        <v>Environmental - Pollution</v>
      </c>
      <c r="I423" s="12" t="str">
        <v>Emissions of heavy metals to water</v>
      </c>
      <c r="J423" s="9" t="str">
        <v>This indicator measures the total amount of heavy metal emissions to water. Heavy metals are arsenic, cadmium, chromium, lead, and mercury, they affect human health as they can induce multiple organ damage.</v>
      </c>
      <c r="K423" s="9" t="str">
        <v>Quantitative</v>
      </c>
      <c r="L423" s="9" t="str">
        <v>unit of mass</v>
      </c>
      <c r="M423" s="9" t="str">
        <v>-</v>
      </c>
      <c r="N423" s="9">
        <v>2</v>
      </c>
      <c r="O423" s="9" t="str">
        <v>Butnariu &amp; Avasilcai 2015; Kravchenko et al. 2019</v>
      </c>
      <c r="P423" s="9" t="str">
        <v>Company</v>
      </c>
      <c r="Q423" s="9" t="str">
        <v>13 Manufacture of textiles; 28 Manufacture of machinery and equipment n.e.c.; 31 Manufacture of furniture</v>
      </c>
      <c r="R423" s="9" t="str">
        <v>not specified</v>
      </c>
      <c r="S423" s="9" t="str">
        <v>Micro; Large; not specified</v>
      </c>
    </row>
    <row r="424" spans="1:19" ht="51.5" customHeight="1" x14ac:dyDescent="0.35">
      <c r="A424" s="9" t="str">
        <v>42-064</v>
      </c>
      <c r="B424" s="9" t="str">
        <v>Output</v>
      </c>
      <c r="C424" s="9" t="str">
        <v>Waste</v>
      </c>
      <c r="D424" s="9" t="str">
        <v>Output - Waste</v>
      </c>
      <c r="E424" s="9">
        <v>0</v>
      </c>
      <c r="F424" s="9" t="str">
        <v>x</v>
      </c>
      <c r="G424" s="9" t="str">
        <v>Pollution</v>
      </c>
      <c r="H424" s="9" t="str">
        <v>Environmental - Pollution</v>
      </c>
      <c r="I424" s="12" t="str">
        <v>Zinc emissions</v>
      </c>
      <c r="J424" s="9" t="str">
        <v>This indicator measures the emissions of zinc to water.</v>
      </c>
      <c r="K424" s="9" t="str">
        <v>Quantitative</v>
      </c>
      <c r="L424" s="9" t="str">
        <v>unit of mass/L</v>
      </c>
      <c r="M424" s="9" t="str">
        <v>-</v>
      </c>
      <c r="N424" s="9">
        <v>1</v>
      </c>
      <c r="O424" s="9" t="str">
        <v>Bao &amp; Bodapati 2012</v>
      </c>
      <c r="P424" s="9" t="str">
        <v>Process</v>
      </c>
      <c r="Q424" s="9" t="str">
        <v>26 Manufacture of computer, electronic and optical products</v>
      </c>
      <c r="R424" s="9" t="str">
        <v>not specified</v>
      </c>
      <c r="S424" s="9" t="str">
        <v>Large</v>
      </c>
    </row>
    <row r="425" spans="1:19" ht="51.5" customHeight="1" x14ac:dyDescent="0.35">
      <c r="A425" s="9" t="str">
        <v>42-065</v>
      </c>
      <c r="B425" s="9" t="str">
        <v>Output</v>
      </c>
      <c r="C425" s="9" t="str">
        <v>Waste</v>
      </c>
      <c r="D425" s="9" t="str">
        <v>Output - Waste</v>
      </c>
      <c r="E425" s="9">
        <v>0</v>
      </c>
      <c r="F425" s="9" t="str">
        <v>x</v>
      </c>
      <c r="G425" s="9" t="str">
        <v>Pollution</v>
      </c>
      <c r="H425" s="9" t="str">
        <v>Environmental - Pollution</v>
      </c>
      <c r="I425" s="12" t="str">
        <v>Cadmium emissions</v>
      </c>
      <c r="J425" s="9" t="str">
        <v>This indicator measures the emissions of cadmium to water.</v>
      </c>
      <c r="K425" s="9" t="str">
        <v>Quantitative</v>
      </c>
      <c r="L425" s="9" t="str">
        <v>unit of mass/L</v>
      </c>
      <c r="M425" s="9" t="str">
        <v>-</v>
      </c>
      <c r="N425" s="9">
        <v>1</v>
      </c>
      <c r="O425" s="9" t="str">
        <v>Bao &amp; Bodapati 2012</v>
      </c>
      <c r="P425" s="9" t="str">
        <v>Process</v>
      </c>
      <c r="Q425" s="9" t="str">
        <v>26 Manufacture of computer, electronic and optical products</v>
      </c>
      <c r="R425" s="9" t="str">
        <v>not specified</v>
      </c>
      <c r="S425" s="9" t="str">
        <v>Large</v>
      </c>
    </row>
    <row r="426" spans="1:19" ht="51.5" customHeight="1" x14ac:dyDescent="0.35">
      <c r="A426" s="9" t="str">
        <v>42-066</v>
      </c>
      <c r="B426" s="9" t="str">
        <v>Output</v>
      </c>
      <c r="C426" s="9" t="str">
        <v>Waste</v>
      </c>
      <c r="D426" s="9" t="str">
        <v>Output - Waste</v>
      </c>
      <c r="E426" s="9">
        <v>0</v>
      </c>
      <c r="F426" s="9" t="str">
        <v>x</v>
      </c>
      <c r="G426" s="9" t="str">
        <v>Pollution</v>
      </c>
      <c r="H426" s="9" t="str">
        <v>Environmental - Pollution</v>
      </c>
      <c r="I426" s="12" t="str">
        <v>Chromium emissions</v>
      </c>
      <c r="J426" s="9" t="str">
        <v>This indicator measures the emissions of chromium to water.</v>
      </c>
      <c r="K426" s="9" t="str">
        <v>Quantitative</v>
      </c>
      <c r="L426" s="9" t="str">
        <v>unit of mass/L</v>
      </c>
      <c r="M426" s="9" t="str">
        <v>-</v>
      </c>
      <c r="N426" s="9">
        <v>1</v>
      </c>
      <c r="O426" s="9" t="str">
        <v>Bao &amp; Bodapati 2012</v>
      </c>
      <c r="P426" s="9" t="str">
        <v>Process</v>
      </c>
      <c r="Q426" s="9" t="str">
        <v>26 Manufacture of computer, electronic and optical products</v>
      </c>
      <c r="R426" s="9" t="str">
        <v>not specified</v>
      </c>
      <c r="S426" s="9" t="str">
        <v>Large</v>
      </c>
    </row>
    <row r="427" spans="1:19" ht="51.5" customHeight="1" x14ac:dyDescent="0.35">
      <c r="A427" s="9" t="str">
        <v>42-067</v>
      </c>
      <c r="B427" s="9" t="str">
        <v>Output</v>
      </c>
      <c r="C427" s="9" t="str">
        <v>Waste</v>
      </c>
      <c r="D427" s="9" t="str">
        <v>Output - Waste</v>
      </c>
      <c r="E427" s="9">
        <v>0</v>
      </c>
      <c r="F427" s="9" t="str">
        <v>x</v>
      </c>
      <c r="G427" s="9" t="str">
        <v>Pollution</v>
      </c>
      <c r="H427" s="9" t="str">
        <v>Environmental - Pollution</v>
      </c>
      <c r="I427" s="12" t="str">
        <v>Lead emissions</v>
      </c>
      <c r="J427" s="9" t="str">
        <v>This indicator measures the emissions of lead to water.</v>
      </c>
      <c r="K427" s="9" t="str">
        <v>Quantitative</v>
      </c>
      <c r="L427" s="9" t="str">
        <v>unit of mass/L</v>
      </c>
      <c r="M427" s="9" t="str">
        <v>-</v>
      </c>
      <c r="N427" s="9">
        <v>1</v>
      </c>
      <c r="O427" s="9" t="str">
        <v>Bao &amp; Bodapati 2012</v>
      </c>
      <c r="P427" s="9" t="str">
        <v>Process</v>
      </c>
      <c r="Q427" s="9" t="str">
        <v>26 Manufacture of computer, electronic and optical products</v>
      </c>
      <c r="R427" s="9" t="str">
        <v>not specified</v>
      </c>
      <c r="S427" s="9" t="str">
        <v>Large</v>
      </c>
    </row>
    <row r="428" spans="1:19" ht="51.5" customHeight="1" x14ac:dyDescent="0.35">
      <c r="A428" s="9" t="str">
        <v>42-068</v>
      </c>
      <c r="B428" s="9" t="str">
        <v>Output</v>
      </c>
      <c r="C428" s="9" t="str">
        <v>Waste</v>
      </c>
      <c r="D428" s="9" t="str">
        <v>Output - Waste</v>
      </c>
      <c r="E428" s="9">
        <v>0</v>
      </c>
      <c r="F428" s="9" t="str">
        <v>x</v>
      </c>
      <c r="G428" s="9" t="str">
        <v>Pollution</v>
      </c>
      <c r="H428" s="9" t="str">
        <v>Environmental - Pollution</v>
      </c>
      <c r="I428" s="12" t="str">
        <v>Mercury emissions</v>
      </c>
      <c r="J428" s="9" t="str">
        <v>This indicator measures the emissions of mercury to water.</v>
      </c>
      <c r="K428" s="9" t="str">
        <v>Quantitative</v>
      </c>
      <c r="L428" s="9" t="str">
        <v>unit of mass/L</v>
      </c>
      <c r="M428" s="9" t="str">
        <v>-</v>
      </c>
      <c r="N428" s="9">
        <v>1</v>
      </c>
      <c r="O428" s="9" t="str">
        <v>Bao &amp; Bodapati 2012</v>
      </c>
      <c r="P428" s="9" t="str">
        <v>Process</v>
      </c>
      <c r="Q428" s="9" t="str">
        <v>26 Manufacture of computer, electronic and optical products</v>
      </c>
      <c r="R428" s="9" t="str">
        <v>not specified</v>
      </c>
      <c r="S428" s="9" t="str">
        <v>Large</v>
      </c>
    </row>
    <row r="429" spans="1:19" ht="51.5" customHeight="1" x14ac:dyDescent="0.35">
      <c r="A429" s="9" t="str">
        <v>42-069</v>
      </c>
      <c r="B429" s="9" t="str">
        <v>Output</v>
      </c>
      <c r="C429" s="9" t="str">
        <v>Waste</v>
      </c>
      <c r="D429" s="9" t="str">
        <v>Output - Waste</v>
      </c>
      <c r="E429" s="9">
        <v>0</v>
      </c>
      <c r="F429" s="9" t="str">
        <v>x</v>
      </c>
      <c r="G429" s="9" t="str">
        <v>Pollution</v>
      </c>
      <c r="H429" s="9" t="str">
        <v>Environmental - Pollution</v>
      </c>
      <c r="I429" s="12" t="str">
        <v>Nickel emissions</v>
      </c>
      <c r="J429" s="9" t="str">
        <v>This indicator measures the emissions of nickel to water.</v>
      </c>
      <c r="K429" s="9" t="str">
        <v>Quantitative</v>
      </c>
      <c r="L429" s="9" t="str">
        <v>unit of mass/L</v>
      </c>
      <c r="M429" s="9" t="str">
        <v>-</v>
      </c>
      <c r="N429" s="9">
        <v>1</v>
      </c>
      <c r="O429" s="9" t="str">
        <v>Bao &amp; Bodapati 2012</v>
      </c>
      <c r="P429" s="9" t="str">
        <v>Process</v>
      </c>
      <c r="Q429" s="9" t="str">
        <v>26 Manufacture of computer, electronic and optical products</v>
      </c>
      <c r="R429" s="9" t="str">
        <v>not specified</v>
      </c>
      <c r="S429" s="9" t="str">
        <v>Large</v>
      </c>
    </row>
    <row r="430" spans="1:19" ht="51.5" customHeight="1" x14ac:dyDescent="0.35">
      <c r="A430" s="9" t="str">
        <v>43-001</v>
      </c>
      <c r="B430" s="9" t="str">
        <v>Output</v>
      </c>
      <c r="C430" s="9" t="str">
        <v>Emissions</v>
      </c>
      <c r="D430" s="9" t="str">
        <v>Output - Emissions</v>
      </c>
      <c r="E430" s="9">
        <v>0</v>
      </c>
      <c r="F430" s="9" t="str">
        <v>x</v>
      </c>
      <c r="G430" s="9" t="str">
        <v>Pollution</v>
      </c>
      <c r="H430" s="9" t="str">
        <v>Environmental - Pollution</v>
      </c>
      <c r="I430" s="12" t="str">
        <v>Emissions to air</v>
      </c>
      <c r="J430" s="9" t="str">
        <v xml:space="preserve">This indicator measures the air emissions. These can be measured in total or by type. </v>
      </c>
      <c r="K430" s="9" t="str">
        <v>Quantitative</v>
      </c>
      <c r="L430" s="9" t="str">
        <v>unit of mass</v>
      </c>
      <c r="M430" s="9" t="str">
        <v>-</v>
      </c>
      <c r="N430" s="9">
        <v>25</v>
      </c>
      <c r="O430" s="9" t="str">
        <v>Amrina &amp; Vilsi 2015; Amrina &amp; Yusof 2011; Beekaroo et al. 2019; Eastwood &amp; Haapala 2015; Fan et al. 2010; Feil et al. 2019; Gani et al. 2021; Gani et al. 2021; Hartini et al. 2020; Helleno et al. 2017; Huang &amp; Badurdeen 2017; Huang &amp; Badurdeen 2018; Jiang et al. 2012; Kaldas et al. 2021; Kravchenko et al. 2019; Li et al. 2012; Mengistu &amp; Panizzolo 2023a; Moldavska &amp; Welo 2018; Paju et al. 2011; Rahdari &amp; Anvary Rostamy 2015; Rao 2008; Song &amp; Moon 2019; Taddese et al. 2020; Veleva et al. 2001; EMAS</v>
      </c>
      <c r="P430" s="9" t="str">
        <v>Company; Factory; Production line; Process</v>
      </c>
      <c r="Q430" s="9" t="str">
        <v>13 Manufacture of textiles; 22 Manufacture of rubber and plastic products; 23 Manufacture of other non-metallic mineral products; 25 Manufacture of fabricated metal products, except machinery and equipment; 26 Manufacture of computer, electronic and optical products; 28 Manufacture of machinery and equipment n.e.c.; 29 Manufacture of motor vehicles, trailers and semi-trailers; 30 Manufacture of other transport equipment; 31 Manufacture of furniture; not specified</v>
      </c>
      <c r="R430" s="9" t="str">
        <v>Original forming; Transforming; Separating; Joining; Coating and finishing; Change of material properties; not specified</v>
      </c>
      <c r="S430" s="9" t="str">
        <v>Micro; Small; Medium; Large; not specified</v>
      </c>
    </row>
    <row r="431" spans="1:19" ht="51.5" customHeight="1" x14ac:dyDescent="0.35">
      <c r="A431" s="9" t="str">
        <v>43-002</v>
      </c>
      <c r="B431" s="9" t="str">
        <v>Output</v>
      </c>
      <c r="C431" s="9" t="str">
        <v>Emissions</v>
      </c>
      <c r="D431" s="9" t="str">
        <v>Output - Emissions</v>
      </c>
      <c r="E431" s="9">
        <v>0</v>
      </c>
      <c r="F431" s="9" t="str">
        <v>x</v>
      </c>
      <c r="G431" s="9" t="str">
        <v>Pollution</v>
      </c>
      <c r="H431" s="9" t="str">
        <v>Environmental - Pollution</v>
      </c>
      <c r="I431" s="12" t="str">
        <v>Air emissions intensity</v>
      </c>
      <c r="J431" s="9" t="str">
        <v>This indicator measures the ratio of the total air emissions to a normalization factor (NF). The NF can, e.g., be the number of units produced.</v>
      </c>
      <c r="K431" s="9" t="str">
        <v>Quantitative</v>
      </c>
      <c r="L431" s="9" t="str">
        <v>kg/NF</v>
      </c>
      <c r="M431" s="9" t="str">
        <v>-</v>
      </c>
      <c r="N431" s="9">
        <v>3</v>
      </c>
      <c r="O431" s="9" t="str">
        <v>Linke et al. 2013; Kocmanová et al. 2015; OECD</v>
      </c>
      <c r="P431" s="9" t="str">
        <v>Company; Factory; Production line; Work cell; Process</v>
      </c>
      <c r="Q431" s="9" t="str">
        <v>13 Manufacture of textiles; 22 Manufacture of rubber and plastic products; 24 Manufacture of basic metals; 25 Manufacture of fabricated metal products, except machinery and equipment; 26 Manufacture of computer, electronic and optical products; 27 Manufacture of electrical equipment; 28 Manufacture of machinery and equipment n.e.c.; not specified</v>
      </c>
      <c r="R431" s="9" t="str">
        <v>Separating; not specified</v>
      </c>
      <c r="S431" s="9" t="str">
        <v>Small; Medium; Large; not specified</v>
      </c>
    </row>
    <row r="432" spans="1:19" ht="51.5" customHeight="1" x14ac:dyDescent="0.35">
      <c r="A432" s="9" t="str">
        <v>43-003</v>
      </c>
      <c r="B432" s="9" t="str">
        <v>Output</v>
      </c>
      <c r="C432" s="9" t="str">
        <v>Emissions</v>
      </c>
      <c r="D432" s="9" t="str">
        <v>Output - Emissions</v>
      </c>
      <c r="E432" s="9">
        <v>0</v>
      </c>
      <c r="F432" s="9" t="str">
        <v>x</v>
      </c>
      <c r="G432" s="9" t="str">
        <v>Pollution</v>
      </c>
      <c r="H432" s="9" t="str">
        <v>Environmental - Pollution</v>
      </c>
      <c r="I432" s="12" t="str">
        <v>Opacity around the plant</v>
      </c>
      <c r="J432" s="9" t="str">
        <v>This indicator measures the overall average opacity around the plant.</v>
      </c>
      <c r="K432" s="9" t="str">
        <v>Quantitative</v>
      </c>
      <c r="L432" s="9" t="str">
        <v>%</v>
      </c>
      <c r="M432" s="9" t="str">
        <v>-</v>
      </c>
      <c r="N432" s="9">
        <v>1</v>
      </c>
      <c r="O432" s="9" t="str">
        <v>Singh et al. 2007a</v>
      </c>
      <c r="P432" s="9" t="str">
        <v>Company</v>
      </c>
      <c r="Q432" s="9" t="str">
        <v>24 Manufacture of basic metals</v>
      </c>
      <c r="R432" s="9" t="str">
        <v>not specified</v>
      </c>
      <c r="S432" s="9" t="str">
        <v>Large</v>
      </c>
    </row>
    <row r="433" spans="1:19" ht="51.5" customHeight="1" x14ac:dyDescent="0.35">
      <c r="A433" s="9" t="str">
        <v>43-004</v>
      </c>
      <c r="B433" s="9" t="str">
        <v>Output</v>
      </c>
      <c r="C433" s="9" t="str">
        <v>Emissions</v>
      </c>
      <c r="D433" s="9" t="str">
        <v>Output - Emissions</v>
      </c>
      <c r="E433" s="9" t="str">
        <v>x</v>
      </c>
      <c r="F433" s="9">
        <v>0</v>
      </c>
      <c r="G433" s="9" t="str">
        <v>Cost</v>
      </c>
      <c r="H433" s="9" t="str">
        <v>Economic - Cost</v>
      </c>
      <c r="I433" s="12" t="str">
        <v>Costs of purifying air</v>
      </c>
      <c r="J433" s="9" t="str">
        <v>This indicator measures the total costs incurred by the company from running an air purification system (this can include energy costs).</v>
      </c>
      <c r="K433" s="9" t="str">
        <v>Quantitative</v>
      </c>
      <c r="L433" s="9" t="str">
        <v>€</v>
      </c>
      <c r="M433" s="9" t="str">
        <v>-</v>
      </c>
      <c r="N433" s="9">
        <v>1</v>
      </c>
      <c r="O433" s="9" t="str">
        <v>Kravchenko et al. 2019</v>
      </c>
      <c r="P433" s="9" t="str">
        <v>Company</v>
      </c>
      <c r="Q433" s="9" t="str">
        <v>13 Manufacture of textiles; 28 Manufacture of machinery and equipment n.e.c.; 31 Manufacture of furniture</v>
      </c>
      <c r="R433" s="9" t="str">
        <v>not specified</v>
      </c>
      <c r="S433" s="9" t="str">
        <v>Micro; Large</v>
      </c>
    </row>
    <row r="434" spans="1:19" ht="51.5" customHeight="1" x14ac:dyDescent="0.35">
      <c r="A434" s="9" t="str">
        <v>43-005</v>
      </c>
      <c r="B434" s="9" t="str">
        <v>Output</v>
      </c>
      <c r="C434" s="9" t="str">
        <v>Emissions</v>
      </c>
      <c r="D434" s="9" t="str">
        <v>Output - Emissions</v>
      </c>
      <c r="E434" s="9">
        <v>0</v>
      </c>
      <c r="F434" s="9" t="str">
        <v>x</v>
      </c>
      <c r="G434" s="9" t="str">
        <v>Pollution</v>
      </c>
      <c r="H434" s="9" t="str">
        <v>Environmental - Pollution</v>
      </c>
      <c r="I434" s="12" t="str">
        <v>Fuel emissions-exhaust</v>
      </c>
      <c r="J434" s="9" t="str">
        <v>This indicator measures the fuel emissions-exhaust per production output.</v>
      </c>
      <c r="K434" s="9" t="str">
        <v>Quantitative</v>
      </c>
      <c r="L434" s="9" t="str">
        <v>kg gas/UOP</v>
      </c>
      <c r="M434" s="9" t="str">
        <v>-</v>
      </c>
      <c r="N434" s="9">
        <v>2</v>
      </c>
      <c r="O434" s="9" t="str">
        <v>Kravchenko et al. 2019; Singh et al. 2007b</v>
      </c>
      <c r="P434" s="9" t="str">
        <v>Company; Process</v>
      </c>
      <c r="Q434" s="9" t="str">
        <v>13 Manufacture of textiles; 28 Manufacture of machinery and equipment n.e.c.; 29 Manufacture of motor vehicles, trailers and semi-trailers; 31 Manufacture of furniture</v>
      </c>
      <c r="R434" s="9" t="str">
        <v>Original forming; Separating; Change of material properties; not specified</v>
      </c>
      <c r="S434" s="9" t="str">
        <v>Micro; Large; not specified</v>
      </c>
    </row>
    <row r="435" spans="1:19" ht="51.5" customHeight="1" x14ac:dyDescent="0.35">
      <c r="A435" s="9" t="str">
        <v>43-006</v>
      </c>
      <c r="B435" s="9" t="str">
        <v>Output</v>
      </c>
      <c r="C435" s="9" t="str">
        <v>Emissions</v>
      </c>
      <c r="D435" s="9" t="str">
        <v>Output - Emissions</v>
      </c>
      <c r="E435" s="9">
        <v>0</v>
      </c>
      <c r="F435" s="9" t="str">
        <v>x</v>
      </c>
      <c r="G435" s="9" t="str">
        <v>Climate Change</v>
      </c>
      <c r="H435" s="9" t="str">
        <v>Environmental - Climate Change</v>
      </c>
      <c r="I435" s="12" t="str">
        <v>Emissions of greenhouse gases</v>
      </c>
      <c r="J435" s="9" t="str">
        <v>This indicator measures the total greenhouse gas emissions. These can be measured in total or by type (CO2, CH4, N2O, HFCs, PFCs, SF6 in tons of CO2 equivalent).</v>
      </c>
      <c r="K435" s="9" t="str">
        <v>Quantitative</v>
      </c>
      <c r="L435" s="9" t="str">
        <v>CO2-eq</v>
      </c>
      <c r="M435" s="9" t="str">
        <v>-</v>
      </c>
      <c r="N435" s="9">
        <v>21</v>
      </c>
      <c r="O435" s="9" t="str">
        <v>Akbar &amp; Irohara 2018; Beekaroo et al. 2019; Cagno et al. 2019; Dočekalová &amp; Kocmanová 2016; Eastwood &amp; Haapala 2015; Fan et al. 2010; Gani et al. 2021; Huang &amp; Badurdeen 2018; Kravchenko et al. 2019; Li et al. 2012; Madanchi et al. 2019; Mengistu &amp; Panizzolo 2023a; Park &amp; Kremer 2017; Pinto et al. 2020; Singh et al. 2007b; Swarnakar et al. 2022; Taddese et al. 2020; Tan et al. 2015; Veleva et al. 2001; EMAS; ISO14031</v>
      </c>
      <c r="P435" s="9" t="str">
        <v>Company; Factory; Production line; Work cell; Process</v>
      </c>
      <c r="Q435" s="9" t="str">
        <v>13 Manufacture of textiles; 24 Manufacture of basic metals; 26 Manufacture of computer, electronic and optical products; 27 Manufacture of electrical equipment; 28 Manufacture of machinery and equipment n.e.c.; 29 Manufacture of motor vehicles, trailers and semi-trailers; 30 Manufacture of other transport equipment; 31 Manufacture of furniture; not specified</v>
      </c>
      <c r="R435" s="9" t="str">
        <v>Original forming; Separating; Joining; Coating and finishing; Change of material properties; not specified</v>
      </c>
      <c r="S435" s="9" t="str">
        <v>Micro; Small; Medium; Large; not specified</v>
      </c>
    </row>
    <row r="436" spans="1:19" ht="51.5" customHeight="1" x14ac:dyDescent="0.35">
      <c r="A436" s="9" t="str">
        <v>43-007</v>
      </c>
      <c r="B436" s="9" t="str">
        <v>Output</v>
      </c>
      <c r="C436" s="9" t="str">
        <v>Emissions</v>
      </c>
      <c r="D436" s="9" t="str">
        <v>Output - Emissions</v>
      </c>
      <c r="E436" s="9">
        <v>0</v>
      </c>
      <c r="F436" s="9" t="str">
        <v>x</v>
      </c>
      <c r="G436" s="9" t="str">
        <v>Climate Change</v>
      </c>
      <c r="H436" s="9" t="str">
        <v>Environmental - Climate Change</v>
      </c>
      <c r="I436" s="12" t="str">
        <v>Emissions of greenhouse gases intensity</v>
      </c>
      <c r="J436" s="9" t="str">
        <v>This indicator measures the ratio of total greenhouse gas emissions to a normalization factor (NF). The NF can, e.g., be the number of units produced.</v>
      </c>
      <c r="K436" s="9" t="str">
        <v>Quantitative</v>
      </c>
      <c r="L436" s="9" t="str">
        <v>CO2-eq/NF</v>
      </c>
      <c r="M436" s="9" t="str">
        <v>305-4</v>
      </c>
      <c r="N436" s="9">
        <v>7</v>
      </c>
      <c r="O436" s="9" t="str">
        <v>Huang &amp; Badurdeen 2017; Huang &amp; Badurdeen 2018; Kaldas et al. 2021; Kocmanová et al. 2015; Kravchenko et al. 2019; Vimal et al. 2015; OECD</v>
      </c>
      <c r="P436" s="9" t="str">
        <v>Company; Factory; Production line; Work cell; Process</v>
      </c>
      <c r="Q436" s="9" t="str">
        <v>13 Manufacture of textiles; 22 Manufacture of rubber and plastic products; 24 Manufacture of basic metals; 25 Manufacture of fabricated metal products, except machinery and equipment; 26 Manufacture of computer, electronic and optical products; 27 Manufacture of electrical equipment; 28 Manufacture of machinery and equipment n.e.c.; 31 Manufacture of furniture; not specified</v>
      </c>
      <c r="R436" s="9" t="str">
        <v>Original forming; Joining; Coating and finishing; Change of material properties; not specified</v>
      </c>
      <c r="S436" s="9" t="str">
        <v>Micro; Small; Medium; Large; not specified</v>
      </c>
    </row>
    <row r="437" spans="1:19" ht="51.5" customHeight="1" x14ac:dyDescent="0.35">
      <c r="A437" s="9" t="str">
        <v>43-008</v>
      </c>
      <c r="B437" s="9" t="str">
        <v>Output</v>
      </c>
      <c r="C437" s="9" t="str">
        <v>Emissions</v>
      </c>
      <c r="D437" s="9" t="str">
        <v>Output - Emissions</v>
      </c>
      <c r="E437" s="9">
        <v>0</v>
      </c>
      <c r="F437" s="9" t="str">
        <v>x</v>
      </c>
      <c r="G437" s="9" t="str">
        <v>Climate Change</v>
      </c>
      <c r="H437" s="9" t="str">
        <v>Environmental - Climate Change</v>
      </c>
      <c r="I437" s="12" t="str">
        <v>Direct greenhouse gas emissions (Scope 1)</v>
      </c>
      <c r="J437" s="9" t="str">
        <v>This indicator measures the total greenhouse gas emissions associated with manufacturing activities (Scope 1). It includes emissions from fuel consumption, generation of electricity, heating-, cooling- and steam energy; chemical processes; and transportation of materials.</v>
      </c>
      <c r="K437" s="9" t="str">
        <v>Quantitative</v>
      </c>
      <c r="L437" s="9" t="str">
        <v>CO2-eq</v>
      </c>
      <c r="M437" s="9" t="str">
        <v>305-1</v>
      </c>
      <c r="N437" s="9">
        <v>3</v>
      </c>
      <c r="O437" s="9" t="str">
        <v>Bhanot et al. 2016a; Bhanot et al. 2016b; Zarte et al. 2019</v>
      </c>
      <c r="P437" s="9" t="str">
        <v>Factory; Process</v>
      </c>
      <c r="Q437" s="9" t="str">
        <v>29 Manufacture of motor vehicles, trailers and semi-trailers; not specified</v>
      </c>
      <c r="R437" s="9" t="str">
        <v>Separating; not specified</v>
      </c>
      <c r="S437" s="9" t="str">
        <v>not specified</v>
      </c>
    </row>
    <row r="438" spans="1:19" ht="51.5" customHeight="1" x14ac:dyDescent="0.35">
      <c r="A438" s="9" t="str">
        <v>43-009</v>
      </c>
      <c r="B438" s="9" t="str">
        <v>Output</v>
      </c>
      <c r="C438" s="9" t="str">
        <v>Emissions</v>
      </c>
      <c r="D438" s="9" t="str">
        <v>Output - Emissions</v>
      </c>
      <c r="E438" s="9">
        <v>0</v>
      </c>
      <c r="F438" s="9" t="str">
        <v>x</v>
      </c>
      <c r="G438" s="9" t="str">
        <v>Climate Change</v>
      </c>
      <c r="H438" s="9" t="str">
        <v>Environmental - Climate Change</v>
      </c>
      <c r="I438" s="12" t="str">
        <v>Indirect greenhouse gas emissions (Scope 2)</v>
      </c>
      <c r="J438" s="9" t="str">
        <v>This indicator measures indirect greenhouse gas emissions (Scope 2). It includes the CO2 emissions from the generation of purchased or acquired energy, such as electricity, heating, cooling, and steam consumed by suppliers.</v>
      </c>
      <c r="K438" s="9" t="str">
        <v>Quantitative</v>
      </c>
      <c r="L438" s="9" t="str">
        <v>CO2-eq</v>
      </c>
      <c r="M438" s="9" t="str">
        <v>305-2</v>
      </c>
      <c r="N438" s="9">
        <v>1</v>
      </c>
      <c r="O438" s="9" t="str">
        <v>Zarte et al. 2019</v>
      </c>
      <c r="P438" s="9" t="str">
        <v>Factory</v>
      </c>
      <c r="Q438" s="9" t="str">
        <v>not specified</v>
      </c>
      <c r="R438" s="9" t="str">
        <v>not specified</v>
      </c>
      <c r="S438" s="9" t="str">
        <v>not specified</v>
      </c>
    </row>
    <row r="439" spans="1:19" ht="51.5" customHeight="1" x14ac:dyDescent="0.35">
      <c r="A439" s="9" t="str">
        <v>43-010</v>
      </c>
      <c r="B439" s="9" t="str">
        <v>Output</v>
      </c>
      <c r="C439" s="9" t="str">
        <v>Emissions</v>
      </c>
      <c r="D439" s="9" t="str">
        <v>Output - Emissions</v>
      </c>
      <c r="E439" s="9">
        <v>0</v>
      </c>
      <c r="F439" s="9" t="str">
        <v>x</v>
      </c>
      <c r="G439" s="9" t="str">
        <v>Climate Change</v>
      </c>
      <c r="H439" s="9" t="str">
        <v>Environmental - Climate Change</v>
      </c>
      <c r="I439" s="12" t="str">
        <v>Greenhouse Gases from Energy Use in manufacturing</v>
      </c>
      <c r="J439" s="9" t="str">
        <v>This indicator measures the total CO2 emissions (CO2, CH4, N2O, HFCs, PFCs, SF6 tons of CO2 equivalent) from energy use during manufacturing.</v>
      </c>
      <c r="K439" s="9" t="str">
        <v>Quantitative</v>
      </c>
      <c r="L439" s="9" t="str">
        <v>CO2-eq</v>
      </c>
      <c r="M439" s="9" t="str">
        <v>-</v>
      </c>
      <c r="N439" s="9">
        <v>2</v>
      </c>
      <c r="O439" s="9" t="str">
        <v>Faulkner &amp; Badurdeen 2014; Kravchenko et al. 2019</v>
      </c>
      <c r="P439" s="9" t="str">
        <v>Company; Process</v>
      </c>
      <c r="Q439" s="9" t="str">
        <v>13 Manufacture of textiles; 26 Manufacture of computer, electronic and optical products; 28 Manufacture of machinery and equipment n.e.c.; 31 Manufacture of furniture</v>
      </c>
      <c r="R439" s="9" t="str">
        <v>Original forming; Joining; Coating and finishing; Change of material properties; not specified</v>
      </c>
      <c r="S439" s="9" t="str">
        <v>Micro; Large; not specified</v>
      </c>
    </row>
    <row r="440" spans="1:19" ht="51.5" customHeight="1" x14ac:dyDescent="0.35">
      <c r="A440" s="9" t="str">
        <v>43-011</v>
      </c>
      <c r="B440" s="9" t="str">
        <v>Output</v>
      </c>
      <c r="C440" s="9" t="str">
        <v>Emissions</v>
      </c>
      <c r="D440" s="9" t="str">
        <v>Output - Emissions</v>
      </c>
      <c r="E440" s="9">
        <v>0</v>
      </c>
      <c r="F440" s="9" t="str">
        <v>x</v>
      </c>
      <c r="G440" s="9" t="str">
        <v>Climate Change</v>
      </c>
      <c r="H440" s="9" t="str">
        <v>Environmental - Climate Change</v>
      </c>
      <c r="I440" s="12" t="str">
        <v>Greenhouse Gases from Energy Use in non-primary manufacturing operations</v>
      </c>
      <c r="J440" s="9" t="str">
        <v>This indicator measures the total CO2 emissions  (CO2, CH4, N2O, HFCs, PFCs, SF6 tons of CO2 equivalent) from energy use during non-primary operations.</v>
      </c>
      <c r="K440" s="9" t="str">
        <v>Quantitative</v>
      </c>
      <c r="L440" s="9" t="str">
        <v>CO2-eq</v>
      </c>
      <c r="M440" s="9" t="str">
        <v>-</v>
      </c>
      <c r="N440" s="9">
        <v>1</v>
      </c>
      <c r="O440" s="9" t="str">
        <v>Kravchenko et al. 2019</v>
      </c>
      <c r="P440" s="9" t="str">
        <v>Company</v>
      </c>
      <c r="Q440" s="9" t="str">
        <v>13 Manufacture of textiles; 28 Manufacture of machinery and equipment n.e.c.; 31 Manufacture of furniture</v>
      </c>
      <c r="R440" s="9" t="str">
        <v>not specified</v>
      </c>
      <c r="S440" s="9" t="str">
        <v>Micro; Large</v>
      </c>
    </row>
    <row r="441" spans="1:19" ht="51.5" customHeight="1" x14ac:dyDescent="0.35">
      <c r="A441" s="9" t="str">
        <v>43-012</v>
      </c>
      <c r="B441" s="9" t="str">
        <v>Output</v>
      </c>
      <c r="C441" s="9" t="str">
        <v>Emissions</v>
      </c>
      <c r="D441" s="9" t="str">
        <v>Output - Emissions</v>
      </c>
      <c r="E441" s="9">
        <v>0</v>
      </c>
      <c r="F441" s="9" t="str">
        <v>x</v>
      </c>
      <c r="G441" s="9" t="str">
        <v>Climate Change</v>
      </c>
      <c r="H441" s="9" t="str">
        <v>Environmental - Climate Change</v>
      </c>
      <c r="I441" s="12" t="str">
        <v>Carbon Dioxide (CO2) emissions</v>
      </c>
      <c r="J441" s="9" t="str">
        <v>This indicator measures the carbon dioxide emissions.</v>
      </c>
      <c r="K441" s="9" t="str">
        <v>Quantitative</v>
      </c>
      <c r="L441" s="9" t="str">
        <v>unit of mass</v>
      </c>
      <c r="M441" s="9" t="str">
        <v>-</v>
      </c>
      <c r="N441" s="9">
        <v>11</v>
      </c>
      <c r="O441" s="9" t="str">
        <v>Butnariu &amp; Avasilcai 2015; Cagno et al. 2019; Cagno et al. 2023; Hatim et al. 2020; Jiang et al. 2018; Jiang et al. 2019; Kibira et al. 2018; Park &amp; Kremer 2017; Saad et al. 2021; Saxena et al. 2020; Singh et al. 2007a</v>
      </c>
      <c r="P441" s="9" t="str">
        <v>Company; Work cell; Process</v>
      </c>
      <c r="Q441" s="9" t="str">
        <v>13 Manufacture of textiles; 23 Manufacture of other non-metallic mineral products; 24 Manufacture of basic metals; 25 Manufacture of fabricated metal products, except machinery and equipment; 27 Manufacture of electrical equipment; 28 Manufacture of machinery and equipment n.e.c.; 29 Manufacture of motor vehicles, trailers and semi-trailers; 30 Manufacture of other transport equipment; 31 Manufacture of furniture; not specified</v>
      </c>
      <c r="R441" s="9" t="str">
        <v>Separating; Joining; Change of material properties; not specified</v>
      </c>
      <c r="S441" s="9" t="str">
        <v>Small; Medium; Large; not specified</v>
      </c>
    </row>
    <row r="442" spans="1:19" ht="51.5" customHeight="1" x14ac:dyDescent="0.35">
      <c r="A442" s="9" t="str">
        <v>43-013</v>
      </c>
      <c r="B442" s="9" t="str">
        <v>Output</v>
      </c>
      <c r="C442" s="9" t="str">
        <v>Emissions</v>
      </c>
      <c r="D442" s="9" t="str">
        <v>Output - Emissions</v>
      </c>
      <c r="E442" s="9">
        <v>0</v>
      </c>
      <c r="F442" s="9" t="str">
        <v>x</v>
      </c>
      <c r="G442" s="9" t="str">
        <v>Climate Change</v>
      </c>
      <c r="H442" s="9" t="str">
        <v>Environmental - Climate Change</v>
      </c>
      <c r="I442" s="12" t="str">
        <v>Net CO2 emissions</v>
      </c>
      <c r="J442" s="9" t="str">
        <v>This indicator measures the net CO2 emissions, calculated as the ratio of CO2 emissions generated minus CO2 emissions removed to CO2 emissions generated.</v>
      </c>
      <c r="K442" s="9" t="str">
        <v>Quantitative</v>
      </c>
      <c r="L442" s="9" t="str">
        <v>%</v>
      </c>
      <c r="M442" s="9" t="str">
        <v>-</v>
      </c>
      <c r="N442" s="9">
        <v>2</v>
      </c>
      <c r="O442" s="9" t="str">
        <v>Swarnakar et al. 2021; Swarnakar et al. 2022</v>
      </c>
      <c r="P442" s="9" t="str">
        <v>Process</v>
      </c>
      <c r="Q442" s="9" t="str">
        <v>28 Manufacture of machinery and equipment n.e.c.; 29 Manufacture of motor vehicles, trailers and semi-trailers; not specified</v>
      </c>
      <c r="R442" s="9" t="str">
        <v>Transforming; Separating; Coating and finishing; Change of material properties; not specified</v>
      </c>
      <c r="S442" s="9" t="str">
        <v>not specified</v>
      </c>
    </row>
    <row r="443" spans="1:19" ht="51.5" customHeight="1" x14ac:dyDescent="0.35">
      <c r="A443" s="9" t="str">
        <v>43-014</v>
      </c>
      <c r="B443" s="9" t="str">
        <v>Output</v>
      </c>
      <c r="C443" s="9" t="str">
        <v>Emissions</v>
      </c>
      <c r="D443" s="9" t="str">
        <v>Output - Emissions</v>
      </c>
      <c r="E443" s="9">
        <v>0</v>
      </c>
      <c r="F443" s="9" t="str">
        <v>x</v>
      </c>
      <c r="G443" s="9" t="str">
        <v>Pollution</v>
      </c>
      <c r="H443" s="9" t="str">
        <v>Environmental - Pollution</v>
      </c>
      <c r="I443" s="12" t="str">
        <v>Emissions of acid gases</v>
      </c>
      <c r="J443" s="9" t="str">
        <v>This indicator measures the emissions of acid gases (NOx, SO2, and other).  It can be measured as total or by type.</v>
      </c>
      <c r="K443" s="9" t="str">
        <v>Quantitative</v>
      </c>
      <c r="L443" s="9" t="str">
        <v>SO2-eq</v>
      </c>
      <c r="M443" s="9" t="str">
        <v>-</v>
      </c>
      <c r="N443" s="9">
        <v>6</v>
      </c>
      <c r="O443" s="9" t="str">
        <v>Gani et al. 2021; Kravchenko et al. 2019; Madanchi et al. 2019; Park &amp; Kremer 2017; Singh et al. 2007b; Veleva et al. 2001</v>
      </c>
      <c r="P443" s="9" t="str">
        <v>Company; Factory; Process</v>
      </c>
      <c r="Q443" s="9" t="str">
        <v>13 Manufacture of textiles; 28 Manufacture of machinery and equipment n.e.c.; 29 Manufacture of motor vehicles, trailers and semi-trailers; 31 Manufacture of furniture; not specified</v>
      </c>
      <c r="R443" s="9" t="str">
        <v>Original forming; Separating; Change of material properties; not specified</v>
      </c>
      <c r="S443" s="9" t="str">
        <v>Micro; Large; not specified</v>
      </c>
    </row>
    <row r="444" spans="1:19" ht="51.5" customHeight="1" x14ac:dyDescent="0.35">
      <c r="A444" s="9" t="str">
        <v>43-015</v>
      </c>
      <c r="B444" s="9" t="str">
        <v>Output</v>
      </c>
      <c r="C444" s="9" t="str">
        <v>Emissions</v>
      </c>
      <c r="D444" s="9" t="str">
        <v>Output - Emissions</v>
      </c>
      <c r="E444" s="9">
        <v>0</v>
      </c>
      <c r="F444" s="9" t="str">
        <v>x</v>
      </c>
      <c r="G444" s="9" t="str">
        <v>Pollution</v>
      </c>
      <c r="H444" s="9" t="str">
        <v>Environmental - Pollution</v>
      </c>
      <c r="I444" s="12" t="str">
        <v>Nitrogen Oxides (NOx) emissions</v>
      </c>
      <c r="J444" s="9" t="str">
        <v>This indicator measures the NOx emissions.</v>
      </c>
      <c r="K444" s="9" t="str">
        <v>Quantitative</v>
      </c>
      <c r="L444" s="9" t="str">
        <v>unit of mass</v>
      </c>
      <c r="M444" s="9" t="str">
        <v>305-7</v>
      </c>
      <c r="N444" s="9">
        <v>7</v>
      </c>
      <c r="O444" s="9" t="str">
        <v>Bao &amp; Bodapati 2012; Butnariu &amp; Avasilcai 2015; Cagno et al. 2019; Dočekalová &amp; Kocmanová 2016; Gani et al. 2021; Jiang et al. 2018; Kibira et al. 2018</v>
      </c>
      <c r="P444" s="9" t="str">
        <v>Company; Process</v>
      </c>
      <c r="Q444" s="9" t="str">
        <v>13 Manufacture of textiles; 24 Manufacture of basic metals; 25 Manufacture of fabricated metal products, except machinery and equipment; 26 Manufacture of computer, electronic and optical products; 27 Manufacture of electrical equipment; 28 Manufacture of machinery and equipment n.e.c.; 29 Manufacture of motor vehicles, trailers and semi-trailers; 30 Manufacture of other transport equipment; 31 Manufacture of furniture; not specified</v>
      </c>
      <c r="R444" s="9" t="str">
        <v>Separating; not specified</v>
      </c>
      <c r="S444" s="9" t="str">
        <v>Small; Medium; Large; not specified</v>
      </c>
    </row>
    <row r="445" spans="1:19" ht="51.5" customHeight="1" x14ac:dyDescent="0.35">
      <c r="A445" s="9" t="str">
        <v>43-016</v>
      </c>
      <c r="B445" s="9" t="str">
        <v>Output</v>
      </c>
      <c r="C445" s="9" t="str">
        <v>Emissions</v>
      </c>
      <c r="D445" s="9" t="str">
        <v>Output - Emissions</v>
      </c>
      <c r="E445" s="9">
        <v>0</v>
      </c>
      <c r="F445" s="9" t="str">
        <v>x</v>
      </c>
      <c r="G445" s="9" t="str">
        <v>Pollution</v>
      </c>
      <c r="H445" s="9" t="str">
        <v>Environmental - Pollution</v>
      </c>
      <c r="I445" s="12" t="str">
        <v>Sulfur Dioxide (SO2) emissions</v>
      </c>
      <c r="J445" s="9" t="str">
        <v>This indicator measures the SO2 emissions.</v>
      </c>
      <c r="K445" s="9" t="str">
        <v>Quantitative</v>
      </c>
      <c r="L445" s="9" t="str">
        <v>unit of mass</v>
      </c>
      <c r="M445" s="9" t="str">
        <v>305-7</v>
      </c>
      <c r="N445" s="9">
        <v>7</v>
      </c>
      <c r="O445" s="9" t="str">
        <v>Bao &amp; Bodapati 2012; Butnariu &amp; Avasilcai 2015; Cagno et al. 2019; Dočekalová &amp; Kocmanová 2016; Gani et al. 2021; Jiang et al. 2018; Long et al. 2016</v>
      </c>
      <c r="P445" s="9" t="str">
        <v>Company; Process</v>
      </c>
      <c r="Q445" s="9" t="str">
        <v>13 Manufacture of textiles; 24 Manufacture of basic metals; 26 Manufacture of computer, electronic and optical products; 27 Manufacture of electrical equipment; 28 Manufacture of machinery and equipment n.e.c.; 29 Manufacture of motor vehicles, trailers and semi-trailers; 30 Manufacture of other transport equipment; 31 Manufacture of furniture; not specified</v>
      </c>
      <c r="R445" s="9" t="str">
        <v>not specified</v>
      </c>
      <c r="S445" s="9" t="str">
        <v>Small; Medium; Large; not specified</v>
      </c>
    </row>
    <row r="446" spans="1:19" ht="51.5" customHeight="1" x14ac:dyDescent="0.35">
      <c r="A446" s="9" t="str">
        <v>43-017</v>
      </c>
      <c r="B446" s="9" t="str">
        <v>Output</v>
      </c>
      <c r="C446" s="9" t="str">
        <v>Emissions</v>
      </c>
      <c r="D446" s="9" t="str">
        <v>Output - Emissions</v>
      </c>
      <c r="E446" s="9">
        <v>0</v>
      </c>
      <c r="F446" s="9" t="str">
        <v>x</v>
      </c>
      <c r="G446" s="9" t="str">
        <v>Pollution</v>
      </c>
      <c r="H446" s="9" t="str">
        <v>Environmental - Pollution</v>
      </c>
      <c r="I446" s="12" t="str">
        <v>Emissions of ozone-depleting substances</v>
      </c>
      <c r="J446" s="9" t="str">
        <v>This indicator measures the emissions of ozone-depleting substances.  It can be measured as total or by type.</v>
      </c>
      <c r="K446" s="9" t="str">
        <v>Quantitative</v>
      </c>
      <c r="L446" s="9" t="str">
        <v>CFC11-eq</v>
      </c>
      <c r="M446" s="9" t="str">
        <v>305-6</v>
      </c>
      <c r="N446" s="9">
        <v>5</v>
      </c>
      <c r="O446" s="9" t="str">
        <v>Cagno et al. 2019; Gani et al. 2021; Mengistu &amp; Panizzolo 2023a; Singh et al. 2007b; ISO14031</v>
      </c>
      <c r="P446" s="9" t="str">
        <v>Company; Factory; Process</v>
      </c>
      <c r="Q446" s="9" t="str">
        <v>13 Manufacture of textiles; 24 Manufacture of basic metals; 28 Manufacture of machinery and equipment n.e.c.; 29 Manufacture of motor vehicles, trailers and semi-trailers; 31 Manufacture of furniture; not specified</v>
      </c>
      <c r="R446" s="9" t="str">
        <v>Original forming; Separating; Change of material properties; not specified</v>
      </c>
      <c r="S446" s="9" t="str">
        <v>Small; Medium; Large; not specified</v>
      </c>
    </row>
    <row r="447" spans="1:19" ht="51.5" customHeight="1" x14ac:dyDescent="0.35">
      <c r="A447" s="9" t="str">
        <v>43-018</v>
      </c>
      <c r="B447" s="9" t="str">
        <v>Output</v>
      </c>
      <c r="C447" s="9" t="str">
        <v>Emissions</v>
      </c>
      <c r="D447" s="9" t="str">
        <v>Output - Emissions</v>
      </c>
      <c r="E447" s="9">
        <v>0</v>
      </c>
      <c r="F447" s="9" t="str">
        <v>x</v>
      </c>
      <c r="G447" s="9" t="str">
        <v>Pollution</v>
      </c>
      <c r="H447" s="9" t="str">
        <v>Environmental - Pollution</v>
      </c>
      <c r="I447" s="12" t="str">
        <v>Chlorofluorocarbons (CFC) emissions</v>
      </c>
      <c r="J447" s="9" t="str">
        <v>This indicator measures the total CFC emissions.</v>
      </c>
      <c r="K447" s="9" t="str">
        <v>Quantitative</v>
      </c>
      <c r="L447" s="9" t="str">
        <v>CFC11-eq</v>
      </c>
      <c r="M447" s="9" t="str">
        <v>-</v>
      </c>
      <c r="N447" s="9">
        <v>1</v>
      </c>
      <c r="O447" s="9" t="str">
        <v>Kravchenko et al. 2019</v>
      </c>
      <c r="P447" s="9" t="str">
        <v>Company</v>
      </c>
      <c r="Q447" s="9" t="str">
        <v>13 Manufacture of textiles; 28 Manufacture of machinery and equipment n.e.c.; 31 Manufacture of furniture</v>
      </c>
      <c r="R447" s="9" t="str">
        <v>not specified</v>
      </c>
      <c r="S447" s="9" t="str">
        <v>Micro; Large</v>
      </c>
    </row>
    <row r="448" spans="1:19" ht="51.5" customHeight="1" x14ac:dyDescent="0.35">
      <c r="A448" s="9" t="str">
        <v>43-019</v>
      </c>
      <c r="B448" s="9" t="str">
        <v>Output</v>
      </c>
      <c r="C448" s="9" t="str">
        <v>Emissions</v>
      </c>
      <c r="D448" s="9" t="str">
        <v>Output - Emissions</v>
      </c>
      <c r="E448" s="9">
        <v>0</v>
      </c>
      <c r="F448" s="9" t="str">
        <v>x</v>
      </c>
      <c r="G448" s="9" t="str">
        <v>Pollution</v>
      </c>
      <c r="H448" s="9" t="str">
        <v>Environmental - Pollution</v>
      </c>
      <c r="I448" s="12" t="str">
        <v>Photochemical ozone-creating emissions</v>
      </c>
      <c r="J448" s="9" t="str">
        <v>This indicator measures the photochemical ozone-creating emissions in ethylene equivalents.</v>
      </c>
      <c r="K448" s="9" t="str">
        <v>Quantitative</v>
      </c>
      <c r="L448" s="9" t="str">
        <v>C2H4-eq</v>
      </c>
      <c r="M448" s="9" t="str">
        <v>-</v>
      </c>
      <c r="N448" s="9">
        <v>2</v>
      </c>
      <c r="O448" s="9" t="str">
        <v>Kravchenko et al. 2019; Veleva et al. 2001</v>
      </c>
      <c r="P448" s="9" t="str">
        <v>Company; Factory</v>
      </c>
      <c r="Q448" s="9" t="str">
        <v>13 Manufacture of textiles; 28 Manufacture of machinery and equipment n.e.c.; 31 Manufacture of furniture; not specified</v>
      </c>
      <c r="R448" s="9" t="str">
        <v>not specified</v>
      </c>
      <c r="S448" s="9" t="str">
        <v>Micro; Large; not specified</v>
      </c>
    </row>
    <row r="449" spans="1:19" ht="51.5" customHeight="1" x14ac:dyDescent="0.35">
      <c r="A449" s="9" t="str">
        <v>43-020</v>
      </c>
      <c r="B449" s="9" t="str">
        <v>Output</v>
      </c>
      <c r="C449" s="9" t="str">
        <v>Emissions</v>
      </c>
      <c r="D449" s="9" t="str">
        <v>Output - Emissions</v>
      </c>
      <c r="E449" s="9">
        <v>0</v>
      </c>
      <c r="F449" s="9" t="str">
        <v>x</v>
      </c>
      <c r="G449" s="9" t="str">
        <v>Pollution</v>
      </c>
      <c r="H449" s="9" t="str">
        <v>Environmental - Pollution</v>
      </c>
      <c r="I449" s="12" t="str">
        <v>Volatile Organic Compounds (VOC) emissions</v>
      </c>
      <c r="J449" s="9" t="str">
        <v>This indicator measures the volatile organic compounds (VOCs) emissions, which are indicators of smog and ground-level ozone and can also cause neurological health problems.</v>
      </c>
      <c r="K449" s="9" t="str">
        <v>Quantitative</v>
      </c>
      <c r="L449" s="9" t="str">
        <v>g</v>
      </c>
      <c r="M449" s="9" t="str">
        <v>305-7</v>
      </c>
      <c r="N449" s="9">
        <v>1</v>
      </c>
      <c r="O449" s="9" t="str">
        <v>Kravchenko et al. 2019</v>
      </c>
      <c r="P449" s="9" t="str">
        <v>Company</v>
      </c>
      <c r="Q449" s="9" t="str">
        <v>13 Manufacture of textiles; 28 Manufacture of machinery and equipment n.e.c.; 31 Manufacture of furniture</v>
      </c>
      <c r="R449" s="9" t="str">
        <v>not specified</v>
      </c>
      <c r="S449" s="9" t="str">
        <v>Micro; Large</v>
      </c>
    </row>
    <row r="450" spans="1:19" ht="51.5" customHeight="1" x14ac:dyDescent="0.35">
      <c r="A450" s="9" t="str">
        <v>43-021</v>
      </c>
      <c r="B450" s="9" t="str">
        <v>Output</v>
      </c>
      <c r="C450" s="9" t="str">
        <v>Emissions</v>
      </c>
      <c r="D450" s="9" t="str">
        <v>Output - Emissions</v>
      </c>
      <c r="E450" s="9">
        <v>0</v>
      </c>
      <c r="F450" s="9" t="str">
        <v>x</v>
      </c>
      <c r="G450" s="9" t="str">
        <v>Pollution</v>
      </c>
      <c r="H450" s="9" t="str">
        <v>Environmental - Pollution</v>
      </c>
      <c r="I450" s="12" t="str">
        <v>Carbon Monoxide (CO) emissions</v>
      </c>
      <c r="J450" s="9" t="str">
        <v>This indicator measures the emissions of carbon monoxide (CO).</v>
      </c>
      <c r="K450" s="9" t="str">
        <v>Quantitative</v>
      </c>
      <c r="L450" s="9" t="str">
        <v>unit of mass</v>
      </c>
      <c r="M450" s="9" t="str">
        <v>-</v>
      </c>
      <c r="N450" s="9">
        <v>1</v>
      </c>
      <c r="O450" s="9" t="str">
        <v>Bao &amp; Bodapati 2012</v>
      </c>
      <c r="P450" s="9" t="str">
        <v>Process</v>
      </c>
      <c r="Q450" s="9" t="str">
        <v>26 Manufacture of computer, electronic and optical products</v>
      </c>
      <c r="R450" s="9" t="str">
        <v>not specified</v>
      </c>
      <c r="S450" s="9" t="str">
        <v>Large</v>
      </c>
    </row>
    <row r="451" spans="1:19" ht="51.5" customHeight="1" x14ac:dyDescent="0.35">
      <c r="A451" s="9" t="str">
        <v>43-022</v>
      </c>
      <c r="B451" s="9" t="str">
        <v>Output</v>
      </c>
      <c r="C451" s="9" t="str">
        <v>Emissions</v>
      </c>
      <c r="D451" s="9" t="str">
        <v>Output - Emissions</v>
      </c>
      <c r="E451" s="9">
        <v>0</v>
      </c>
      <c r="F451" s="9" t="str">
        <v>x</v>
      </c>
      <c r="G451" s="9" t="str">
        <v>Pollution</v>
      </c>
      <c r="H451" s="9" t="str">
        <v>Environmental - Pollution</v>
      </c>
      <c r="I451" s="12" t="str">
        <v>Toxic emissions</v>
      </c>
      <c r="J451" s="9" t="str">
        <v>This indicator measures the total toxic emissions, including emissions of heavy metals, dioxins, crystalline silica, and others.</v>
      </c>
      <c r="K451" s="9" t="str">
        <v>Quantitative</v>
      </c>
      <c r="L451" s="9" t="str">
        <v>unit of mass</v>
      </c>
      <c r="M451" s="9" t="str">
        <v>-</v>
      </c>
      <c r="N451" s="9">
        <v>3</v>
      </c>
      <c r="O451" s="9" t="str">
        <v>Cagno et al. 2019; Cagno et al. 2023; Veleva et al. 2001</v>
      </c>
      <c r="P451" s="9" t="str">
        <v>Company; Factory</v>
      </c>
      <c r="Q451" s="9" t="str">
        <v>13 Manufacture of textiles; 23 Manufacture of other non-metallic mineral products; 24 Manufacture of basic metals; 27 Manufacture of electrical equipment; 28 Manufacture of machinery and equipment n.e.c.; 29 Manufacture of motor vehicles, trailers and semi-trailers; 31 Manufacture of furniture; not specified</v>
      </c>
      <c r="R451" s="9" t="str">
        <v>not specified</v>
      </c>
      <c r="S451" s="9" t="str">
        <v>Small; Medium; Large; not specified</v>
      </c>
    </row>
    <row r="452" spans="1:19" ht="51.5" customHeight="1" x14ac:dyDescent="0.35">
      <c r="A452" s="9" t="str">
        <v>43-023</v>
      </c>
      <c r="B452" s="9" t="str">
        <v>Output</v>
      </c>
      <c r="C452" s="9" t="str">
        <v>Emissions</v>
      </c>
      <c r="D452" s="9" t="str">
        <v>Output - Emissions</v>
      </c>
      <c r="E452" s="9">
        <v>0</v>
      </c>
      <c r="F452" s="9" t="str">
        <v>x</v>
      </c>
      <c r="G452" s="9" t="str">
        <v>Pollution</v>
      </c>
      <c r="H452" s="9" t="str">
        <v>Environmental - Pollution</v>
      </c>
      <c r="I452" s="12" t="str">
        <v>Metal emissions to air</v>
      </c>
      <c r="J452" s="9" t="str">
        <v>This indicator measures the metal emissions per production output.</v>
      </c>
      <c r="K452" s="9" t="str">
        <v>Quantitative</v>
      </c>
      <c r="L452" s="9" t="str">
        <v>unit of mass/UOP</v>
      </c>
      <c r="M452" s="9" t="str">
        <v>-</v>
      </c>
      <c r="N452" s="9">
        <v>2</v>
      </c>
      <c r="O452" s="9" t="str">
        <v>Cagno et al. 2019; Singh et al. 2007a</v>
      </c>
      <c r="P452" s="9" t="str">
        <v>Company</v>
      </c>
      <c r="Q452" s="9" t="str">
        <v>13 Manufacture of textiles; 24 Manufacture of basic metals; 28 Manufacture of machinery and equipment n.e.c.; 31 Manufacture of furniture</v>
      </c>
      <c r="R452" s="9" t="str">
        <v>not specified</v>
      </c>
      <c r="S452" s="9" t="str">
        <v>Small; Medium; Large</v>
      </c>
    </row>
    <row r="453" spans="1:19" ht="51.5" customHeight="1" x14ac:dyDescent="0.35">
      <c r="A453" s="9" t="str">
        <v>43-024</v>
      </c>
      <c r="B453" s="9" t="str">
        <v>Output</v>
      </c>
      <c r="C453" s="9" t="str">
        <v>Emissions</v>
      </c>
      <c r="D453" s="9" t="str">
        <v>Output - Emissions</v>
      </c>
      <c r="E453" s="9">
        <v>0</v>
      </c>
      <c r="F453" s="9" t="str">
        <v>x</v>
      </c>
      <c r="G453" s="9" t="str">
        <v>Pollution</v>
      </c>
      <c r="H453" s="9" t="str">
        <v>Environmental - Pollution</v>
      </c>
      <c r="I453" s="12" t="str">
        <v>Lead emissions</v>
      </c>
      <c r="J453" s="9" t="str">
        <v>This indicator measures the lead emissions.</v>
      </c>
      <c r="K453" s="9" t="str">
        <v>Quantitative</v>
      </c>
      <c r="L453" s="9" t="str">
        <v>unit of mass</v>
      </c>
      <c r="M453" s="9" t="str">
        <v>-</v>
      </c>
      <c r="N453" s="9">
        <v>1</v>
      </c>
      <c r="O453" s="9" t="str">
        <v>Bao &amp; Bodapati 2012</v>
      </c>
      <c r="P453" s="9" t="str">
        <v>Process</v>
      </c>
      <c r="Q453" s="9" t="str">
        <v>26 Manufacture of computer, electronic and optical products</v>
      </c>
      <c r="R453" s="9" t="str">
        <v>not specified</v>
      </c>
      <c r="S453" s="9" t="str">
        <v>Large</v>
      </c>
    </row>
    <row r="454" spans="1:19" ht="51.5" customHeight="1" x14ac:dyDescent="0.35">
      <c r="A454" s="9" t="str">
        <v>43-025</v>
      </c>
      <c r="B454" s="9" t="str">
        <v>Output</v>
      </c>
      <c r="C454" s="9" t="str">
        <v>Emissions</v>
      </c>
      <c r="D454" s="9" t="str">
        <v>Output - Emissions</v>
      </c>
      <c r="E454" s="9">
        <v>0</v>
      </c>
      <c r="F454" s="9" t="str">
        <v>x</v>
      </c>
      <c r="G454" s="9" t="str">
        <v>Pollution</v>
      </c>
      <c r="H454" s="9" t="str">
        <v>Environmental - Pollution</v>
      </c>
      <c r="I454" s="12" t="str">
        <v>Polycyclic aromatic hydrocarbons</v>
      </c>
      <c r="J454" s="9" t="str">
        <v>This indicator measures the quantity of polycyclic aromatic hydrocarbon (PAHs) emissions.</v>
      </c>
      <c r="K454" s="9" t="str">
        <v>Quantitative</v>
      </c>
      <c r="L454" s="9" t="str">
        <v>Ni-eq</v>
      </c>
      <c r="M454" s="9" t="str">
        <v>-</v>
      </c>
      <c r="N454" s="9">
        <v>1</v>
      </c>
      <c r="O454" s="9" t="str">
        <v>Kravchenko et al. 2019</v>
      </c>
      <c r="P454" s="9" t="str">
        <v>Company</v>
      </c>
      <c r="Q454" s="9" t="str">
        <v>13 Manufacture of textiles; 28 Manufacture of machinery and equipment n.e.c.; 31 Manufacture of furniture</v>
      </c>
      <c r="R454" s="9" t="str">
        <v>not specified</v>
      </c>
      <c r="S454" s="9" t="str">
        <v>Micro; Large</v>
      </c>
    </row>
    <row r="455" spans="1:19" ht="51.5" customHeight="1" x14ac:dyDescent="0.35">
      <c r="A455" s="9" t="str">
        <v>43-026</v>
      </c>
      <c r="B455" s="9" t="str">
        <v>Output</v>
      </c>
      <c r="C455" s="9" t="str">
        <v>Emissions</v>
      </c>
      <c r="D455" s="9" t="str">
        <v>Output - Emissions</v>
      </c>
      <c r="E455" s="9">
        <v>0</v>
      </c>
      <c r="F455" s="9" t="str">
        <v>x</v>
      </c>
      <c r="G455" s="9" t="str">
        <v>Pollution</v>
      </c>
      <c r="H455" s="9" t="str">
        <v>Environmental - Pollution</v>
      </c>
      <c r="I455" s="12" t="str">
        <v>Particulate Matter (PM10, PM2.5) emissions</v>
      </c>
      <c r="J455" s="9" t="str">
        <v>This indicator measures the quantity of PM emissions.</v>
      </c>
      <c r="K455" s="9" t="str">
        <v>Quantitative</v>
      </c>
      <c r="L455" s="9" t="str">
        <v>unit of mass</v>
      </c>
      <c r="M455" s="9" t="str">
        <v>305-7</v>
      </c>
      <c r="N455" s="9">
        <v>4</v>
      </c>
      <c r="O455" s="9" t="str">
        <v>Bao &amp; Bodapati 2012; Dočekalová &amp; Kocmanová 2016; Kravchenko et al. 2019; Singh et al. 2007a</v>
      </c>
      <c r="P455" s="9" t="str">
        <v>Company; Process</v>
      </c>
      <c r="Q455" s="9" t="str">
        <v>13 Manufacture of textiles; 24 Manufacture of basic metals; 26 Manufacture of computer, electronic and optical products; 27 Manufacture of electrical equipment; 28 Manufacture of machinery and equipment n.e.c.; 31 Manufacture of furniture</v>
      </c>
      <c r="R455" s="9" t="str">
        <v>not specified</v>
      </c>
      <c r="S455" s="9" t="str">
        <v>Micro; Large</v>
      </c>
    </row>
    <row r="456" spans="1:19" ht="51.5" customHeight="1" x14ac:dyDescent="0.35">
      <c r="A456" s="9" t="str">
        <v>43-027</v>
      </c>
      <c r="B456" s="9" t="str">
        <v>Output</v>
      </c>
      <c r="C456" s="9" t="str">
        <v>Emissions</v>
      </c>
      <c r="D456" s="9" t="str">
        <v>Output - Emissions</v>
      </c>
      <c r="E456" s="9">
        <v>0</v>
      </c>
      <c r="F456" s="9" t="str">
        <v>x</v>
      </c>
      <c r="G456" s="9" t="str">
        <v>Pollution</v>
      </c>
      <c r="H456" s="9" t="str">
        <v>Environmental - Pollution</v>
      </c>
      <c r="I456" s="12" t="str">
        <v>Mass of mist generation</v>
      </c>
      <c r="J456" s="9" t="str">
        <v>This indicator measures the mass of mist generated per production output.</v>
      </c>
      <c r="K456" s="9" t="str">
        <v>Quantitative</v>
      </c>
      <c r="L456" s="9" t="str">
        <v>unit of mass/UOP</v>
      </c>
      <c r="M456" s="9" t="str">
        <v>-</v>
      </c>
      <c r="N456" s="9">
        <v>1</v>
      </c>
      <c r="O456" s="9" t="str">
        <v>Faulkner &amp; Badurdeen 2014</v>
      </c>
      <c r="P456" s="9" t="str">
        <v>Process</v>
      </c>
      <c r="Q456" s="9" t="str">
        <v>26 Manufacture of computer, electronic and optical products</v>
      </c>
      <c r="R456" s="9" t="str">
        <v>Original forming; Joining; Coating and finishing; Change of material properties</v>
      </c>
      <c r="S456" s="9" t="str">
        <v>not specified</v>
      </c>
    </row>
    <row r="457" spans="1:19" ht="51.5" customHeight="1" x14ac:dyDescent="0.35">
      <c r="A457" s="9" t="str">
        <v>43-028</v>
      </c>
      <c r="B457" s="9" t="str">
        <v>Output</v>
      </c>
      <c r="C457" s="9" t="str">
        <v>Emissions</v>
      </c>
      <c r="D457" s="9" t="str">
        <v>Output - Emissions</v>
      </c>
      <c r="E457" s="9">
        <v>0</v>
      </c>
      <c r="F457" s="9" t="str">
        <v>x</v>
      </c>
      <c r="G457" s="9" t="str">
        <v>Pollution</v>
      </c>
      <c r="H457" s="9" t="str">
        <v>Environmental - Pollution</v>
      </c>
      <c r="I457" s="12" t="str">
        <v>Waste energy emission</v>
      </c>
      <c r="J457" s="9" t="str">
        <v>This indicator measures the quantity of any form of energy (heat, vibration, etc.) that is emitted by the organization to air and/ or water.</v>
      </c>
      <c r="K457" s="9" t="str">
        <v>Quantitative</v>
      </c>
      <c r="L457" s="9" t="str">
        <v>J</v>
      </c>
      <c r="M457" s="9" t="str">
        <v>-</v>
      </c>
      <c r="N457" s="9">
        <v>4</v>
      </c>
      <c r="O457" s="9" t="str">
        <v>Kravchenko et al. 2019; Lin et al. 2020; Tan et al. 2015; ISO14031</v>
      </c>
      <c r="P457" s="9" t="str">
        <v>Company; Factory; Process</v>
      </c>
      <c r="Q457" s="9" t="str">
        <v>13 Manufacture of textiles; 28 Manufacture of machinery and equipment n.e.c.; 31 Manufacture of furniture; not specified</v>
      </c>
      <c r="R457" s="9" t="str">
        <v>not specified</v>
      </c>
      <c r="S457" s="9" t="str">
        <v>Micro; Small; Medium; Large; not specified</v>
      </c>
    </row>
    <row r="458" spans="1:19" ht="51.5" customHeight="1" x14ac:dyDescent="0.35">
      <c r="A458" s="9" t="str">
        <v>43-029</v>
      </c>
      <c r="B458" s="9" t="str">
        <v>Output</v>
      </c>
      <c r="C458" s="9" t="str">
        <v>Emissions</v>
      </c>
      <c r="D458" s="9" t="str">
        <v>Output - Emissions</v>
      </c>
      <c r="E458" s="9">
        <v>0</v>
      </c>
      <c r="F458" s="9" t="str">
        <v>x</v>
      </c>
      <c r="G458" s="9" t="str">
        <v>Pollution</v>
      </c>
      <c r="H458" s="9" t="str">
        <v>Environmental - Pollution</v>
      </c>
      <c r="I458" s="12" t="str">
        <v>Noise</v>
      </c>
      <c r="J458" s="9" t="str">
        <v>This indicator measures the noise emitted to the external environment from manufacturing processes.</v>
      </c>
      <c r="K458" s="9" t="str">
        <v>Quantitative</v>
      </c>
      <c r="L458" s="9" t="str">
        <v>dB</v>
      </c>
      <c r="M458" s="9" t="str">
        <v>-</v>
      </c>
      <c r="N458" s="9">
        <v>6</v>
      </c>
      <c r="O458" s="9" t="str">
        <v>Amrina &amp; Vilsi 2015; Kravchenko et al. 2019; Pusporini &amp; Vanany 2019; Rao 2008; Song &amp; Moon 2019; ISO14031</v>
      </c>
      <c r="P458" s="9" t="str">
        <v>Company; Factory; Production line; Process</v>
      </c>
      <c r="Q458" s="9" t="str">
        <v>13 Manufacture of textiles; 23 Manufacture of other non-metallic mineral products; 25 Manufacture of fabricated metal products, except machinery and equipment; 28 Manufacture of machinery and equipment n.e.c.; 30 Manufacture of other transport equipment; 31 Manufacture of furniture; not specified</v>
      </c>
      <c r="R458" s="9" t="str">
        <v>Original forming; Separating; Joining; not specified</v>
      </c>
      <c r="S458" s="9" t="str">
        <v>Micro; Large; not specified</v>
      </c>
    </row>
    <row r="459" spans="1:19" ht="51.5" customHeight="1" x14ac:dyDescent="0.35">
      <c r="A459" s="9" t="str">
        <v>43-030</v>
      </c>
      <c r="B459" s="9" t="str">
        <v>Output</v>
      </c>
      <c r="C459" s="9" t="str">
        <v>Emissions</v>
      </c>
      <c r="D459" s="9" t="str">
        <v>Output - Emissions</v>
      </c>
      <c r="E459" s="9">
        <v>0</v>
      </c>
      <c r="F459" s="9" t="str">
        <v>x</v>
      </c>
      <c r="G459" s="9" t="str">
        <v>Pollution</v>
      </c>
      <c r="H459" s="9" t="str">
        <v>Environmental - Pollution</v>
      </c>
      <c r="I459" s="12" t="str">
        <v>Noise level outside the factory</v>
      </c>
      <c r="J459" s="9" t="str">
        <v>This indicator measures the noise level outside of the factory.</v>
      </c>
      <c r="K459" s="9" t="str">
        <v>Quantitative</v>
      </c>
      <c r="L459" s="9" t="str">
        <v>dB</v>
      </c>
      <c r="M459" s="9" t="str">
        <v>-</v>
      </c>
      <c r="N459" s="9">
        <v>2</v>
      </c>
      <c r="O459" s="9" t="str">
        <v>Faulkner &amp; Badurdeen 2014; Singh et al. 2007a</v>
      </c>
      <c r="P459" s="9" t="str">
        <v>Company; Process</v>
      </c>
      <c r="Q459" s="9" t="str">
        <v>24 Manufacture of basic metals; 26 Manufacture of computer, electronic and optical products</v>
      </c>
      <c r="R459" s="9" t="str">
        <v>Original forming; Joining; Coating and finishing; Change of material properties; not specified</v>
      </c>
      <c r="S459" s="9" t="str">
        <v>Large; not specified</v>
      </c>
    </row>
    <row r="460" spans="1:19" ht="51.5" customHeight="1" x14ac:dyDescent="0.35">
      <c r="A460" s="9" t="str">
        <v>43-031</v>
      </c>
      <c r="B460" s="9" t="str">
        <v>Output</v>
      </c>
      <c r="C460" s="9" t="str">
        <v>Emissions</v>
      </c>
      <c r="D460" s="9" t="str">
        <v>Output - Emissions</v>
      </c>
      <c r="E460" s="9">
        <v>0</v>
      </c>
      <c r="F460" s="9" t="str">
        <v>x</v>
      </c>
      <c r="G460" s="9" t="str">
        <v>Pollution</v>
      </c>
      <c r="H460" s="9" t="str">
        <v>Environmental - Pollution</v>
      </c>
      <c r="I460" s="12" t="str">
        <v>Noise level in the factory</v>
      </c>
      <c r="J460" s="9" t="str">
        <v>This indicator measures the noise level in the factory.</v>
      </c>
      <c r="K460" s="9" t="str">
        <v>Quantitative</v>
      </c>
      <c r="L460" s="9" t="str">
        <v>dB</v>
      </c>
      <c r="M460" s="9" t="str">
        <v>-</v>
      </c>
      <c r="N460" s="9">
        <v>1</v>
      </c>
      <c r="O460" s="9" t="str">
        <v>Moldavska &amp; Welo 2018</v>
      </c>
      <c r="P460" s="9" t="str">
        <v>Company</v>
      </c>
      <c r="Q460" s="9" t="str">
        <v>22 Manufacture of rubber and plastic products; 28 Manufacture of machinery and equipment n.e.c.; 29 Manufacture of motor vehicles, trailers and semi-trailers; not specified</v>
      </c>
      <c r="R460" s="9" t="str">
        <v>not specified</v>
      </c>
      <c r="S460" s="9" t="str">
        <v>Small; Medium</v>
      </c>
    </row>
    <row r="461" spans="1:19" ht="51.5" customHeight="1" x14ac:dyDescent="0.35"/>
    <row r="462" spans="1:19" ht="51.5" customHeight="1" x14ac:dyDescent="0.35"/>
    <row r="463" spans="1:19" ht="51.5" customHeight="1" x14ac:dyDescent="0.35"/>
    <row r="464" spans="1:19" ht="51.5" customHeight="1" x14ac:dyDescent="0.35"/>
    <row r="465" ht="51.5" customHeight="1" x14ac:dyDescent="0.35"/>
    <row r="466" ht="51.5" customHeight="1" x14ac:dyDescent="0.35"/>
    <row r="467" ht="51.5" customHeight="1" x14ac:dyDescent="0.35"/>
    <row r="468" ht="51.5" customHeight="1" x14ac:dyDescent="0.35"/>
    <row r="469" ht="51.5" customHeight="1" x14ac:dyDescent="0.35"/>
    <row r="470" ht="51.5" customHeight="1" x14ac:dyDescent="0.35"/>
    <row r="471" ht="51.5" customHeight="1" x14ac:dyDescent="0.35"/>
    <row r="472" ht="51.5" customHeight="1" x14ac:dyDescent="0.35"/>
    <row r="473" ht="51.5" customHeight="1" x14ac:dyDescent="0.35"/>
    <row r="474" ht="51.5" customHeight="1" x14ac:dyDescent="0.35"/>
    <row r="475" ht="51.5" customHeight="1" x14ac:dyDescent="0.35"/>
    <row r="476" ht="51.5" customHeight="1" x14ac:dyDescent="0.35"/>
    <row r="477" ht="51.5" customHeight="1" x14ac:dyDescent="0.35"/>
    <row r="478" ht="51.5" customHeight="1" x14ac:dyDescent="0.35"/>
    <row r="479" ht="51.5" customHeight="1" x14ac:dyDescent="0.35"/>
    <row r="480" ht="51.5" customHeight="1" x14ac:dyDescent="0.35"/>
    <row r="481" ht="51.5" customHeight="1" x14ac:dyDescent="0.35"/>
    <row r="482" ht="51.5" customHeight="1" x14ac:dyDescent="0.35"/>
    <row r="483" ht="51.5" customHeight="1" x14ac:dyDescent="0.35"/>
    <row r="484" ht="51.5" customHeight="1" x14ac:dyDescent="0.35"/>
    <row r="485" ht="51.5" customHeight="1" x14ac:dyDescent="0.35"/>
    <row r="486" ht="51.5" customHeight="1" x14ac:dyDescent="0.35"/>
    <row r="487" ht="51.5" customHeight="1" x14ac:dyDescent="0.35"/>
    <row r="488" ht="51.5" customHeight="1" x14ac:dyDescent="0.35"/>
    <row r="489" ht="51.5" customHeight="1" x14ac:dyDescent="0.35"/>
    <row r="490" ht="51.5" customHeight="1" x14ac:dyDescent="0.35"/>
    <row r="491" ht="51.5" customHeight="1" x14ac:dyDescent="0.35"/>
    <row r="492" ht="51.5" customHeight="1" x14ac:dyDescent="0.35"/>
    <row r="493" ht="51.5" customHeight="1" x14ac:dyDescent="0.35"/>
    <row r="494" ht="51.5" customHeight="1" x14ac:dyDescent="0.35"/>
    <row r="495" ht="51.5" customHeight="1" x14ac:dyDescent="0.35"/>
    <row r="496" ht="51.5" customHeight="1" x14ac:dyDescent="0.35"/>
    <row r="497" ht="51.5" customHeight="1" x14ac:dyDescent="0.35"/>
    <row r="498" ht="51.5" customHeight="1" x14ac:dyDescent="0.35"/>
    <row r="499" ht="51.5" customHeight="1" x14ac:dyDescent="0.35"/>
    <row r="500" ht="51.5" customHeight="1" x14ac:dyDescent="0.35"/>
    <row r="501" ht="51.5" customHeight="1" x14ac:dyDescent="0.35"/>
    <row r="502" ht="51.5" customHeight="1" x14ac:dyDescent="0.35"/>
    <row r="503" ht="51.5" customHeight="1" x14ac:dyDescent="0.35"/>
    <row r="504" ht="51.5" customHeight="1" x14ac:dyDescent="0.35"/>
    <row r="505" ht="51.5" customHeight="1" x14ac:dyDescent="0.35"/>
    <row r="506" ht="51.5" customHeight="1" x14ac:dyDescent="0.35"/>
    <row r="507" ht="51.5" customHeight="1" x14ac:dyDescent="0.35"/>
    <row r="508" ht="51.5" customHeight="1" x14ac:dyDescent="0.35"/>
    <row r="509" ht="51.5" customHeight="1" x14ac:dyDescent="0.35"/>
    <row r="510" ht="51.5" customHeight="1" x14ac:dyDescent="0.35"/>
    <row r="511" ht="51.5" customHeight="1" x14ac:dyDescent="0.35"/>
    <row r="512" ht="51.5" customHeight="1" x14ac:dyDescent="0.35"/>
    <row r="513" ht="51.5" customHeight="1" x14ac:dyDescent="0.35"/>
    <row r="514" ht="51.5" customHeight="1" x14ac:dyDescent="0.35"/>
    <row r="515" ht="51.5" customHeight="1" x14ac:dyDescent="0.35"/>
    <row r="516" ht="51.5" customHeight="1" x14ac:dyDescent="0.35"/>
    <row r="517" ht="51.5" customHeight="1" x14ac:dyDescent="0.35"/>
    <row r="518" ht="51.5" customHeight="1" x14ac:dyDescent="0.35"/>
    <row r="519" ht="51.5" customHeight="1" x14ac:dyDescent="0.35"/>
    <row r="520" ht="51.5" customHeight="1" x14ac:dyDescent="0.35"/>
    <row r="521" ht="51.5" customHeight="1" x14ac:dyDescent="0.35"/>
    <row r="522" ht="51.5" customHeight="1" x14ac:dyDescent="0.35"/>
    <row r="523" ht="51.5" customHeight="1" x14ac:dyDescent="0.35"/>
    <row r="524" ht="51.5" customHeight="1" x14ac:dyDescent="0.35"/>
    <row r="525" ht="51.5" customHeight="1" x14ac:dyDescent="0.35"/>
    <row r="526" ht="51.5" customHeight="1" x14ac:dyDescent="0.35"/>
    <row r="537" spans="16:19" x14ac:dyDescent="0.35">
      <c r="P537" s="22"/>
      <c r="Q537" s="22"/>
      <c r="R537" s="22"/>
      <c r="S537" s="22"/>
    </row>
  </sheetData>
  <autoFilter ref="A3:X526" xr:uid="{00000000-0001-0000-0000-000000000000}"/>
  <mergeCells count="9">
    <mergeCell ref="T1:X1"/>
    <mergeCell ref="A2:H2"/>
    <mergeCell ref="I2:L2"/>
    <mergeCell ref="M2:O2"/>
    <mergeCell ref="P2:S2"/>
    <mergeCell ref="A1:H1"/>
    <mergeCell ref="I1:L1"/>
    <mergeCell ref="M1:O1"/>
    <mergeCell ref="P1:S1"/>
  </mergeCells>
  <pageMargins left="0.75" right="0.75" top="1" bottom="1" header="0.5" footer="0.5"/>
  <pageSetup orientation="portrait" r:id="rId1"/>
  <extLst>
    <ext xmlns:x14="http://schemas.microsoft.com/office/spreadsheetml/2009/9/main" uri="{CCE6A557-97BC-4b89-ADB6-D9C93CAAB3DF}">
      <x14:dataValidations xmlns:xm="http://schemas.microsoft.com/office/excel/2006/main" count="2">
        <x14:dataValidation type="list" allowBlank="1" showInputMessage="1" xr:uid="{BA72EEE0-FA2D-4CF3-B154-FB5F289F6245}">
          <x14:formula1>
            <xm:f>'Filter criteria'!$A$16:$A$17</xm:f>
          </x14:formula1>
          <xm:sqref>W4:W526</xm:sqref>
        </x14:dataValidation>
        <x14:dataValidation type="list" allowBlank="1" showInputMessage="1" xr:uid="{89A7DAE9-C78E-48FF-B357-9C4C05871DE1}">
          <x14:formula1>
            <xm:f>'Filter criteria'!$A$10:$A$13</xm:f>
          </x14:formula1>
          <xm:sqref>T4:V526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D868B6-5C06-468A-A6C6-F7FC4C3474F1}">
  <sheetPr codeName="Tabelle2"/>
  <dimension ref="A1:X503"/>
  <sheetViews>
    <sheetView zoomScaleNormal="100" workbookViewId="0">
      <selection activeCell="AA4" sqref="AA4"/>
    </sheetView>
  </sheetViews>
  <sheetFormatPr defaultColWidth="10.90625" defaultRowHeight="14.5" outlineLevelCol="1" x14ac:dyDescent="0.35"/>
  <cols>
    <col min="1" max="1" width="4.26953125" customWidth="1"/>
    <col min="2" max="2" width="8.26953125" customWidth="1"/>
    <col min="3" max="3" width="11.36328125" customWidth="1"/>
    <col min="4" max="4" width="18.6328125" hidden="1" customWidth="1" outlineLevel="1"/>
    <col min="5" max="5" width="9.6328125" customWidth="1" collapsed="1"/>
    <col min="6" max="6" width="13.7265625" customWidth="1"/>
    <col min="7" max="7" width="12.7265625" customWidth="1"/>
    <col min="8" max="8" width="12.81640625" hidden="1" customWidth="1" outlineLevel="1"/>
    <col min="9" max="9" width="17.26953125" customWidth="1" collapsed="1"/>
    <col min="10" max="10" width="12.7265625" customWidth="1"/>
    <col min="11" max="11" width="13.36328125" customWidth="1"/>
    <col min="12" max="12" width="11" customWidth="1"/>
    <col min="13" max="23" width="10.90625" hidden="1" customWidth="1" outlineLevel="1"/>
    <col min="24" max="24" width="10.90625" collapsed="1"/>
  </cols>
  <sheetData>
    <row r="1" spans="1:24" x14ac:dyDescent="0.35">
      <c r="A1" s="49" t="s">
        <v>967</v>
      </c>
      <c r="B1" s="49"/>
      <c r="C1" s="49"/>
      <c r="D1" s="49"/>
      <c r="E1" s="49"/>
      <c r="F1" s="49"/>
      <c r="G1" s="49"/>
      <c r="H1" s="49"/>
      <c r="I1" s="50" t="s">
        <v>1077</v>
      </c>
      <c r="J1" s="50"/>
      <c r="K1" s="50"/>
      <c r="L1" s="50"/>
      <c r="M1" s="51" t="s">
        <v>4</v>
      </c>
      <c r="N1" s="51"/>
      <c r="O1" s="51"/>
      <c r="P1" s="52" t="s">
        <v>1841</v>
      </c>
      <c r="Q1" s="52"/>
      <c r="R1" s="52"/>
      <c r="S1" s="52"/>
      <c r="T1" s="53" t="s">
        <v>1852</v>
      </c>
      <c r="U1" s="53"/>
      <c r="V1" s="53"/>
      <c r="W1" s="53"/>
      <c r="X1" s="53"/>
    </row>
    <row r="2" spans="1:24" ht="29" x14ac:dyDescent="0.35">
      <c r="A2" s="8" t="s">
        <v>0</v>
      </c>
      <c r="B2" s="8" t="s">
        <v>1076</v>
      </c>
      <c r="C2" s="8" t="s">
        <v>1</v>
      </c>
      <c r="D2" s="8" t="s">
        <v>1192</v>
      </c>
      <c r="E2" s="8" t="s">
        <v>2</v>
      </c>
      <c r="F2" s="8" t="s">
        <v>3</v>
      </c>
      <c r="G2" s="8" t="s">
        <v>1087</v>
      </c>
      <c r="H2" s="8" t="s">
        <v>1193</v>
      </c>
      <c r="I2" s="11" t="s">
        <v>1836</v>
      </c>
      <c r="J2" s="8" t="s">
        <v>1856</v>
      </c>
      <c r="K2" s="8" t="s">
        <v>1211</v>
      </c>
      <c r="L2" s="8" t="s">
        <v>1242</v>
      </c>
      <c r="M2" s="8" t="s">
        <v>1850</v>
      </c>
      <c r="N2" s="8" t="s">
        <v>1210</v>
      </c>
      <c r="O2" s="8" t="s">
        <v>4</v>
      </c>
      <c r="P2" s="8" t="s">
        <v>1835</v>
      </c>
      <c r="Q2" s="8" t="s">
        <v>5</v>
      </c>
      <c r="R2" s="8" t="s">
        <v>1851</v>
      </c>
      <c r="S2" s="8" t="s">
        <v>1819</v>
      </c>
      <c r="T2" s="8" t="s">
        <v>1832</v>
      </c>
      <c r="U2" s="8" t="s">
        <v>1833</v>
      </c>
      <c r="V2" s="8" t="s">
        <v>1834</v>
      </c>
      <c r="W2" s="8" t="s">
        <v>1855</v>
      </c>
      <c r="X2" s="8" t="s">
        <v>1209</v>
      </c>
    </row>
    <row r="3" spans="1:24" x14ac:dyDescent="0.35">
      <c r="B3" s="7" t="s">
        <v>2177</v>
      </c>
      <c r="M3" s="7"/>
      <c r="N3" s="7"/>
      <c r="O3" s="7"/>
      <c r="P3" s="7"/>
      <c r="Q3" s="7"/>
      <c r="R3" s="7"/>
      <c r="S3" s="7"/>
      <c r="T3" s="7"/>
      <c r="U3" s="7"/>
      <c r="V3" s="7"/>
      <c r="W3" s="7"/>
      <c r="X3" s="7"/>
    </row>
    <row r="4" spans="1:24" x14ac:dyDescent="0.35">
      <c r="M4" s="7"/>
      <c r="N4" s="7"/>
      <c r="O4" s="7"/>
      <c r="P4" s="7"/>
      <c r="Q4" s="7"/>
      <c r="R4" s="7"/>
      <c r="S4" s="7"/>
      <c r="T4" s="7"/>
    </row>
    <row r="5" spans="1:24" x14ac:dyDescent="0.35">
      <c r="D5" t="str">
        <f t="shared" ref="D5:D21" si="0">B5&amp;" - "&amp;C5</f>
        <v xml:space="preserve"> - </v>
      </c>
      <c r="H5" t="str">
        <f t="shared" ref="H5:H67" si="1">IF(E5="x","Economic - "&amp;G5,IF(F5="x","Environmental - "&amp;G5,""))</f>
        <v/>
      </c>
      <c r="M5" s="7"/>
      <c r="N5" s="7"/>
      <c r="O5" s="7"/>
      <c r="P5" s="7"/>
      <c r="Q5" s="7"/>
      <c r="R5" s="7"/>
      <c r="S5" s="7"/>
      <c r="T5" s="7"/>
    </row>
    <row r="6" spans="1:24" x14ac:dyDescent="0.35">
      <c r="D6" t="str">
        <f t="shared" si="0"/>
        <v xml:space="preserve"> - </v>
      </c>
      <c r="H6" t="str">
        <f t="shared" si="1"/>
        <v/>
      </c>
      <c r="M6" s="7"/>
      <c r="N6" s="7"/>
      <c r="O6" s="7"/>
      <c r="P6" s="7"/>
      <c r="Q6" s="7"/>
      <c r="R6" s="7"/>
      <c r="S6" s="7"/>
      <c r="T6" s="7"/>
    </row>
    <row r="7" spans="1:24" x14ac:dyDescent="0.35">
      <c r="D7" t="str">
        <f t="shared" si="0"/>
        <v xml:space="preserve"> - </v>
      </c>
      <c r="H7" t="str">
        <f t="shared" si="1"/>
        <v/>
      </c>
      <c r="M7" s="7"/>
      <c r="N7" s="7"/>
      <c r="O7" s="7"/>
      <c r="P7" s="7"/>
      <c r="Q7" s="7"/>
      <c r="R7" s="7"/>
      <c r="S7" s="7"/>
      <c r="T7" s="7"/>
    </row>
    <row r="8" spans="1:24" x14ac:dyDescent="0.35">
      <c r="D8" t="str">
        <f t="shared" si="0"/>
        <v xml:space="preserve"> - </v>
      </c>
      <c r="H8" t="str">
        <f t="shared" si="1"/>
        <v/>
      </c>
      <c r="M8" s="7"/>
      <c r="N8" s="7"/>
      <c r="O8" s="7"/>
      <c r="P8" s="7"/>
      <c r="Q8" s="7"/>
      <c r="R8" s="7"/>
      <c r="S8" s="7"/>
      <c r="T8" s="7"/>
    </row>
    <row r="9" spans="1:24" x14ac:dyDescent="0.35">
      <c r="D9" t="str">
        <f t="shared" si="0"/>
        <v xml:space="preserve"> - </v>
      </c>
      <c r="H9" t="str">
        <f t="shared" si="1"/>
        <v/>
      </c>
      <c r="M9" s="7"/>
      <c r="N9" s="7"/>
      <c r="O9" s="7"/>
      <c r="P9" s="7"/>
      <c r="Q9" s="7"/>
      <c r="R9" s="7"/>
      <c r="S9" s="7"/>
      <c r="T9" s="7"/>
    </row>
    <row r="10" spans="1:24" x14ac:dyDescent="0.35">
      <c r="D10" t="str">
        <f t="shared" si="0"/>
        <v xml:space="preserve"> - </v>
      </c>
      <c r="H10" t="str">
        <f t="shared" si="1"/>
        <v/>
      </c>
      <c r="M10" s="7"/>
      <c r="N10" s="7"/>
      <c r="O10" s="7"/>
      <c r="P10" s="7"/>
      <c r="Q10" s="7"/>
      <c r="R10" s="7"/>
      <c r="S10" s="7"/>
      <c r="T10" s="7"/>
    </row>
    <row r="11" spans="1:24" x14ac:dyDescent="0.35">
      <c r="D11" t="str">
        <f t="shared" si="0"/>
        <v xml:space="preserve"> - </v>
      </c>
      <c r="H11" t="str">
        <f t="shared" si="1"/>
        <v/>
      </c>
      <c r="M11" s="7"/>
      <c r="N11" s="7"/>
      <c r="O11" s="7"/>
      <c r="P11" s="7"/>
      <c r="Q11" s="7"/>
      <c r="R11" s="7"/>
      <c r="S11" s="7"/>
      <c r="T11" s="7"/>
    </row>
    <row r="12" spans="1:24" x14ac:dyDescent="0.35">
      <c r="D12" t="str">
        <f t="shared" si="0"/>
        <v xml:space="preserve"> - </v>
      </c>
      <c r="H12" t="str">
        <f t="shared" si="1"/>
        <v/>
      </c>
      <c r="M12" s="7"/>
      <c r="N12" s="7"/>
      <c r="O12" s="7"/>
      <c r="P12" s="7"/>
      <c r="Q12" s="7"/>
      <c r="R12" s="7"/>
      <c r="S12" s="7"/>
      <c r="T12" s="7"/>
    </row>
    <row r="13" spans="1:24" x14ac:dyDescent="0.35">
      <c r="D13" t="str">
        <f t="shared" si="0"/>
        <v xml:space="preserve"> - </v>
      </c>
      <c r="H13" t="str">
        <f t="shared" si="1"/>
        <v/>
      </c>
      <c r="M13" s="7"/>
      <c r="N13" s="7"/>
      <c r="O13" s="7"/>
      <c r="P13" s="7"/>
      <c r="Q13" s="7"/>
      <c r="R13" s="7"/>
      <c r="S13" s="7"/>
      <c r="T13" s="7"/>
    </row>
    <row r="14" spans="1:24" x14ac:dyDescent="0.35">
      <c r="D14" t="str">
        <f t="shared" si="0"/>
        <v xml:space="preserve"> - </v>
      </c>
      <c r="H14" t="str">
        <f t="shared" si="1"/>
        <v/>
      </c>
      <c r="M14" s="7"/>
      <c r="N14" s="7"/>
      <c r="O14" s="7"/>
      <c r="P14" s="7"/>
      <c r="Q14" s="7"/>
      <c r="R14" s="7"/>
      <c r="S14" s="7"/>
      <c r="T14" s="7"/>
    </row>
    <row r="15" spans="1:24" x14ac:dyDescent="0.35">
      <c r="D15" t="str">
        <f t="shared" si="0"/>
        <v xml:space="preserve"> - </v>
      </c>
      <c r="H15" t="str">
        <f t="shared" si="1"/>
        <v/>
      </c>
      <c r="M15" s="7"/>
      <c r="N15" s="7"/>
      <c r="O15" s="7"/>
      <c r="P15" s="7"/>
      <c r="Q15" s="7"/>
      <c r="R15" s="7"/>
      <c r="S15" s="7"/>
      <c r="T15" s="7"/>
    </row>
    <row r="16" spans="1:24" x14ac:dyDescent="0.35">
      <c r="D16" t="str">
        <f t="shared" si="0"/>
        <v xml:space="preserve"> - </v>
      </c>
      <c r="H16" t="str">
        <f t="shared" si="1"/>
        <v/>
      </c>
      <c r="M16" s="7"/>
      <c r="N16" s="7"/>
      <c r="O16" s="7"/>
      <c r="P16" s="7"/>
      <c r="Q16" s="7"/>
      <c r="R16" s="7"/>
      <c r="S16" s="7"/>
      <c r="T16" s="7"/>
    </row>
    <row r="17" spans="4:20" x14ac:dyDescent="0.35">
      <c r="D17" t="str">
        <f t="shared" si="0"/>
        <v xml:space="preserve"> - </v>
      </c>
      <c r="H17" t="str">
        <f t="shared" si="1"/>
        <v/>
      </c>
      <c r="M17" s="7"/>
      <c r="N17" s="7"/>
      <c r="O17" s="7"/>
      <c r="P17" s="7"/>
      <c r="Q17" s="7"/>
      <c r="R17" s="7"/>
      <c r="S17" s="7"/>
      <c r="T17" s="7"/>
    </row>
    <row r="18" spans="4:20" x14ac:dyDescent="0.35">
      <c r="D18" t="str">
        <f t="shared" si="0"/>
        <v xml:space="preserve"> - </v>
      </c>
      <c r="H18" t="str">
        <f t="shared" si="1"/>
        <v/>
      </c>
      <c r="M18" s="7"/>
      <c r="N18" s="7"/>
      <c r="O18" s="7"/>
      <c r="P18" s="7"/>
      <c r="Q18" s="7"/>
      <c r="R18" s="7"/>
      <c r="S18" s="7"/>
      <c r="T18" s="7"/>
    </row>
    <row r="19" spans="4:20" x14ac:dyDescent="0.35">
      <c r="D19" t="str">
        <f t="shared" si="0"/>
        <v xml:space="preserve"> - </v>
      </c>
      <c r="H19" t="str">
        <f t="shared" si="1"/>
        <v/>
      </c>
      <c r="M19" s="7"/>
      <c r="N19" s="7"/>
      <c r="O19" s="7"/>
      <c r="P19" s="7"/>
      <c r="Q19" s="7"/>
      <c r="R19" s="7"/>
      <c r="S19" s="7"/>
      <c r="T19" s="7"/>
    </row>
    <row r="20" spans="4:20" x14ac:dyDescent="0.35">
      <c r="D20" t="str">
        <f t="shared" si="0"/>
        <v xml:space="preserve"> - </v>
      </c>
      <c r="H20" t="str">
        <f t="shared" si="1"/>
        <v/>
      </c>
      <c r="M20" s="7"/>
      <c r="N20" s="7"/>
      <c r="O20" s="7"/>
      <c r="P20" s="7"/>
      <c r="Q20" s="7"/>
      <c r="R20" s="7"/>
      <c r="S20" s="7"/>
      <c r="T20" s="7"/>
    </row>
    <row r="21" spans="4:20" x14ac:dyDescent="0.35">
      <c r="D21" t="str">
        <f t="shared" si="0"/>
        <v xml:space="preserve"> - </v>
      </c>
      <c r="H21" t="str">
        <f t="shared" si="1"/>
        <v/>
      </c>
      <c r="I21" s="7"/>
    </row>
    <row r="22" spans="4:20" x14ac:dyDescent="0.35">
      <c r="D22" t="str">
        <f t="shared" ref="D22:D85" si="2">B22&amp;" - "&amp;C22</f>
        <v xml:space="preserve"> - </v>
      </c>
      <c r="H22" t="str">
        <f t="shared" si="1"/>
        <v/>
      </c>
    </row>
    <row r="23" spans="4:20" x14ac:dyDescent="0.35">
      <c r="D23" t="str">
        <f t="shared" si="2"/>
        <v xml:space="preserve"> - </v>
      </c>
      <c r="H23" t="str">
        <f t="shared" si="1"/>
        <v/>
      </c>
    </row>
    <row r="24" spans="4:20" x14ac:dyDescent="0.35">
      <c r="D24" t="str">
        <f t="shared" si="2"/>
        <v xml:space="preserve"> - </v>
      </c>
      <c r="H24" t="str">
        <f t="shared" si="1"/>
        <v/>
      </c>
    </row>
    <row r="25" spans="4:20" x14ac:dyDescent="0.35">
      <c r="D25" t="str">
        <f t="shared" si="2"/>
        <v xml:space="preserve"> - </v>
      </c>
      <c r="H25" t="str">
        <f t="shared" si="1"/>
        <v/>
      </c>
    </row>
    <row r="26" spans="4:20" x14ac:dyDescent="0.35">
      <c r="D26" t="str">
        <f t="shared" si="2"/>
        <v xml:space="preserve"> - </v>
      </c>
      <c r="H26" t="str">
        <f t="shared" si="1"/>
        <v/>
      </c>
    </row>
    <row r="27" spans="4:20" x14ac:dyDescent="0.35">
      <c r="D27" t="str">
        <f t="shared" si="2"/>
        <v xml:space="preserve"> - </v>
      </c>
      <c r="H27" t="str">
        <f t="shared" si="1"/>
        <v/>
      </c>
    </row>
    <row r="28" spans="4:20" x14ac:dyDescent="0.35">
      <c r="D28" t="str">
        <f t="shared" si="2"/>
        <v xml:space="preserve"> - </v>
      </c>
      <c r="H28" t="str">
        <f t="shared" si="1"/>
        <v/>
      </c>
    </row>
    <row r="29" spans="4:20" x14ac:dyDescent="0.35">
      <c r="D29" t="str">
        <f t="shared" si="2"/>
        <v xml:space="preserve"> - </v>
      </c>
      <c r="H29" t="str">
        <f t="shared" si="1"/>
        <v/>
      </c>
    </row>
    <row r="30" spans="4:20" x14ac:dyDescent="0.35">
      <c r="D30" t="str">
        <f t="shared" si="2"/>
        <v xml:space="preserve"> - </v>
      </c>
      <c r="H30" t="str">
        <f t="shared" si="1"/>
        <v/>
      </c>
    </row>
    <row r="31" spans="4:20" x14ac:dyDescent="0.35">
      <c r="D31" t="str">
        <f t="shared" si="2"/>
        <v xml:space="preserve"> - </v>
      </c>
      <c r="H31" t="str">
        <f t="shared" si="1"/>
        <v/>
      </c>
    </row>
    <row r="32" spans="4:20" x14ac:dyDescent="0.35">
      <c r="D32" t="str">
        <f t="shared" si="2"/>
        <v xml:space="preserve"> - </v>
      </c>
      <c r="H32" t="str">
        <f t="shared" si="1"/>
        <v/>
      </c>
    </row>
    <row r="33" spans="4:9" x14ac:dyDescent="0.35">
      <c r="D33" t="str">
        <f t="shared" si="2"/>
        <v xml:space="preserve"> - </v>
      </c>
      <c r="H33" t="str">
        <f t="shared" si="1"/>
        <v/>
      </c>
    </row>
    <row r="34" spans="4:9" x14ac:dyDescent="0.35">
      <c r="D34" t="str">
        <f t="shared" si="2"/>
        <v xml:space="preserve"> - </v>
      </c>
      <c r="H34" t="str">
        <f t="shared" si="1"/>
        <v/>
      </c>
    </row>
    <row r="35" spans="4:9" x14ac:dyDescent="0.35">
      <c r="D35" t="str">
        <f t="shared" si="2"/>
        <v xml:space="preserve"> - </v>
      </c>
      <c r="H35" t="str">
        <f t="shared" si="1"/>
        <v/>
      </c>
    </row>
    <row r="36" spans="4:9" x14ac:dyDescent="0.35">
      <c r="D36" t="str">
        <f t="shared" si="2"/>
        <v xml:space="preserve"> - </v>
      </c>
      <c r="H36" t="str">
        <f t="shared" si="1"/>
        <v/>
      </c>
    </row>
    <row r="37" spans="4:9" x14ac:dyDescent="0.35">
      <c r="D37" t="str">
        <f t="shared" si="2"/>
        <v xml:space="preserve"> - </v>
      </c>
      <c r="H37" t="str">
        <f t="shared" si="1"/>
        <v/>
      </c>
    </row>
    <row r="38" spans="4:9" x14ac:dyDescent="0.35">
      <c r="D38" t="str">
        <f t="shared" si="2"/>
        <v xml:space="preserve"> - </v>
      </c>
      <c r="H38" t="str">
        <f t="shared" si="1"/>
        <v/>
      </c>
    </row>
    <row r="39" spans="4:9" x14ac:dyDescent="0.35">
      <c r="D39" t="str">
        <f t="shared" si="2"/>
        <v xml:space="preserve"> - </v>
      </c>
      <c r="H39" t="str">
        <f t="shared" si="1"/>
        <v/>
      </c>
      <c r="I39" s="7"/>
    </row>
    <row r="40" spans="4:9" x14ac:dyDescent="0.35">
      <c r="D40" t="str">
        <f t="shared" si="2"/>
        <v xml:space="preserve"> - </v>
      </c>
      <c r="H40" t="str">
        <f t="shared" si="1"/>
        <v/>
      </c>
    </row>
    <row r="41" spans="4:9" x14ac:dyDescent="0.35">
      <c r="D41" t="str">
        <f t="shared" si="2"/>
        <v xml:space="preserve"> - </v>
      </c>
      <c r="H41" t="str">
        <f t="shared" si="1"/>
        <v/>
      </c>
    </row>
    <row r="42" spans="4:9" x14ac:dyDescent="0.35">
      <c r="D42" t="str">
        <f t="shared" si="2"/>
        <v xml:space="preserve"> - </v>
      </c>
      <c r="H42" t="str">
        <f t="shared" si="1"/>
        <v/>
      </c>
    </row>
    <row r="43" spans="4:9" x14ac:dyDescent="0.35">
      <c r="D43" t="str">
        <f t="shared" si="2"/>
        <v xml:space="preserve"> - </v>
      </c>
      <c r="H43" t="str">
        <f t="shared" si="1"/>
        <v/>
      </c>
    </row>
    <row r="44" spans="4:9" x14ac:dyDescent="0.35">
      <c r="D44" t="str">
        <f t="shared" si="2"/>
        <v xml:space="preserve"> - </v>
      </c>
      <c r="H44" t="str">
        <f t="shared" si="1"/>
        <v/>
      </c>
    </row>
    <row r="45" spans="4:9" x14ac:dyDescent="0.35">
      <c r="D45" t="str">
        <f t="shared" si="2"/>
        <v xml:space="preserve"> - </v>
      </c>
      <c r="H45" t="str">
        <f t="shared" si="1"/>
        <v/>
      </c>
    </row>
    <row r="46" spans="4:9" x14ac:dyDescent="0.35">
      <c r="D46" t="str">
        <f t="shared" si="2"/>
        <v xml:space="preserve"> - </v>
      </c>
      <c r="H46" t="str">
        <f t="shared" si="1"/>
        <v/>
      </c>
    </row>
    <row r="47" spans="4:9" x14ac:dyDescent="0.35">
      <c r="D47" t="str">
        <f t="shared" si="2"/>
        <v xml:space="preserve"> - </v>
      </c>
      <c r="H47" t="str">
        <f t="shared" si="1"/>
        <v/>
      </c>
    </row>
    <row r="48" spans="4:9" x14ac:dyDescent="0.35">
      <c r="D48" t="str">
        <f t="shared" si="2"/>
        <v xml:space="preserve"> - </v>
      </c>
      <c r="H48" t="str">
        <f t="shared" si="1"/>
        <v/>
      </c>
    </row>
    <row r="49" spans="4:9" x14ac:dyDescent="0.35">
      <c r="D49" t="str">
        <f t="shared" si="2"/>
        <v xml:space="preserve"> - </v>
      </c>
      <c r="H49" t="str">
        <f t="shared" si="1"/>
        <v/>
      </c>
    </row>
    <row r="50" spans="4:9" x14ac:dyDescent="0.35">
      <c r="D50" t="str">
        <f t="shared" si="2"/>
        <v xml:space="preserve"> - </v>
      </c>
      <c r="H50" t="str">
        <f t="shared" si="1"/>
        <v/>
      </c>
    </row>
    <row r="51" spans="4:9" x14ac:dyDescent="0.35">
      <c r="D51" t="str">
        <f t="shared" si="2"/>
        <v xml:space="preserve"> - </v>
      </c>
      <c r="H51" t="str">
        <f t="shared" si="1"/>
        <v/>
      </c>
    </row>
    <row r="52" spans="4:9" x14ac:dyDescent="0.35">
      <c r="D52" t="str">
        <f t="shared" si="2"/>
        <v xml:space="preserve"> - </v>
      </c>
      <c r="H52" t="str">
        <f t="shared" si="1"/>
        <v/>
      </c>
    </row>
    <row r="53" spans="4:9" x14ac:dyDescent="0.35">
      <c r="D53" t="str">
        <f t="shared" si="2"/>
        <v xml:space="preserve"> - </v>
      </c>
      <c r="H53" t="str">
        <f t="shared" si="1"/>
        <v/>
      </c>
    </row>
    <row r="54" spans="4:9" x14ac:dyDescent="0.35">
      <c r="D54" t="str">
        <f t="shared" si="2"/>
        <v xml:space="preserve"> - </v>
      </c>
      <c r="H54" t="str">
        <f t="shared" si="1"/>
        <v/>
      </c>
    </row>
    <row r="55" spans="4:9" x14ac:dyDescent="0.35">
      <c r="D55" t="str">
        <f t="shared" si="2"/>
        <v xml:space="preserve"> - </v>
      </c>
      <c r="H55" t="str">
        <f t="shared" si="1"/>
        <v/>
      </c>
    </row>
    <row r="56" spans="4:9" x14ac:dyDescent="0.35">
      <c r="D56" t="str">
        <f t="shared" si="2"/>
        <v xml:space="preserve"> - </v>
      </c>
      <c r="H56" t="str">
        <f t="shared" si="1"/>
        <v/>
      </c>
    </row>
    <row r="57" spans="4:9" x14ac:dyDescent="0.35">
      <c r="D57" t="str">
        <f t="shared" si="2"/>
        <v xml:space="preserve"> - </v>
      </c>
      <c r="H57" t="str">
        <f t="shared" si="1"/>
        <v/>
      </c>
      <c r="I57" s="7"/>
    </row>
    <row r="58" spans="4:9" x14ac:dyDescent="0.35">
      <c r="D58" t="str">
        <f t="shared" si="2"/>
        <v xml:space="preserve"> - </v>
      </c>
      <c r="H58" t="str">
        <f t="shared" si="1"/>
        <v/>
      </c>
    </row>
    <row r="59" spans="4:9" x14ac:dyDescent="0.35">
      <c r="D59" t="str">
        <f t="shared" si="2"/>
        <v xml:space="preserve"> - </v>
      </c>
      <c r="H59" t="str">
        <f t="shared" si="1"/>
        <v/>
      </c>
    </row>
    <row r="60" spans="4:9" x14ac:dyDescent="0.35">
      <c r="D60" t="str">
        <f t="shared" si="2"/>
        <v xml:space="preserve"> - </v>
      </c>
      <c r="H60" t="str">
        <f t="shared" si="1"/>
        <v/>
      </c>
    </row>
    <row r="61" spans="4:9" x14ac:dyDescent="0.35">
      <c r="D61" t="str">
        <f t="shared" si="2"/>
        <v xml:space="preserve"> - </v>
      </c>
      <c r="H61" t="str">
        <f t="shared" si="1"/>
        <v/>
      </c>
    </row>
    <row r="62" spans="4:9" x14ac:dyDescent="0.35">
      <c r="D62" t="str">
        <f t="shared" si="2"/>
        <v xml:space="preserve"> - </v>
      </c>
      <c r="H62" t="str">
        <f t="shared" si="1"/>
        <v/>
      </c>
    </row>
    <row r="63" spans="4:9" x14ac:dyDescent="0.35">
      <c r="D63" t="str">
        <f t="shared" si="2"/>
        <v xml:space="preserve"> - </v>
      </c>
      <c r="H63" t="str">
        <f t="shared" si="1"/>
        <v/>
      </c>
    </row>
    <row r="64" spans="4:9" x14ac:dyDescent="0.35">
      <c r="D64" t="str">
        <f t="shared" si="2"/>
        <v xml:space="preserve"> - </v>
      </c>
      <c r="H64" t="str">
        <f t="shared" si="1"/>
        <v/>
      </c>
    </row>
    <row r="65" spans="4:9" x14ac:dyDescent="0.35">
      <c r="D65" t="str">
        <f t="shared" si="2"/>
        <v xml:space="preserve"> - </v>
      </c>
      <c r="H65" t="str">
        <f t="shared" si="1"/>
        <v/>
      </c>
    </row>
    <row r="66" spans="4:9" x14ac:dyDescent="0.35">
      <c r="D66" t="str">
        <f t="shared" si="2"/>
        <v xml:space="preserve"> - </v>
      </c>
      <c r="H66" t="str">
        <f t="shared" si="1"/>
        <v/>
      </c>
    </row>
    <row r="67" spans="4:9" x14ac:dyDescent="0.35">
      <c r="D67" t="str">
        <f t="shared" si="2"/>
        <v xml:space="preserve"> - </v>
      </c>
      <c r="H67" t="str">
        <f t="shared" si="1"/>
        <v/>
      </c>
    </row>
    <row r="68" spans="4:9" x14ac:dyDescent="0.35">
      <c r="D68" t="str">
        <f t="shared" si="2"/>
        <v xml:space="preserve"> - </v>
      </c>
      <c r="H68" t="str">
        <f t="shared" ref="H68:H131" si="3">IF(E68="x","Economic - "&amp;G68,IF(F68="x","Environmental - "&amp;G68,""))</f>
        <v/>
      </c>
    </row>
    <row r="69" spans="4:9" x14ac:dyDescent="0.35">
      <c r="D69" t="str">
        <f t="shared" si="2"/>
        <v xml:space="preserve"> - </v>
      </c>
      <c r="H69" t="str">
        <f t="shared" si="3"/>
        <v/>
      </c>
    </row>
    <row r="70" spans="4:9" x14ac:dyDescent="0.35">
      <c r="D70" t="str">
        <f t="shared" si="2"/>
        <v xml:space="preserve"> - </v>
      </c>
      <c r="H70" t="str">
        <f t="shared" si="3"/>
        <v/>
      </c>
    </row>
    <row r="71" spans="4:9" x14ac:dyDescent="0.35">
      <c r="D71" t="str">
        <f t="shared" si="2"/>
        <v xml:space="preserve"> - </v>
      </c>
      <c r="H71" t="str">
        <f t="shared" si="3"/>
        <v/>
      </c>
    </row>
    <row r="72" spans="4:9" x14ac:dyDescent="0.35">
      <c r="D72" t="str">
        <f t="shared" si="2"/>
        <v xml:space="preserve"> - </v>
      </c>
      <c r="H72" t="str">
        <f t="shared" si="3"/>
        <v/>
      </c>
    </row>
    <row r="73" spans="4:9" x14ac:dyDescent="0.35">
      <c r="D73" t="str">
        <f t="shared" si="2"/>
        <v xml:space="preserve"> - </v>
      </c>
      <c r="H73" t="str">
        <f t="shared" si="3"/>
        <v/>
      </c>
    </row>
    <row r="74" spans="4:9" x14ac:dyDescent="0.35">
      <c r="D74" t="str">
        <f t="shared" si="2"/>
        <v xml:space="preserve"> - </v>
      </c>
      <c r="H74" t="str">
        <f t="shared" si="3"/>
        <v/>
      </c>
    </row>
    <row r="75" spans="4:9" x14ac:dyDescent="0.35">
      <c r="D75" t="str">
        <f t="shared" si="2"/>
        <v xml:space="preserve"> - </v>
      </c>
      <c r="H75" t="str">
        <f t="shared" si="3"/>
        <v/>
      </c>
      <c r="I75" s="7"/>
    </row>
    <row r="76" spans="4:9" x14ac:dyDescent="0.35">
      <c r="D76" t="str">
        <f t="shared" si="2"/>
        <v xml:space="preserve"> - </v>
      </c>
      <c r="H76" t="str">
        <f t="shared" si="3"/>
        <v/>
      </c>
    </row>
    <row r="77" spans="4:9" x14ac:dyDescent="0.35">
      <c r="D77" t="str">
        <f t="shared" si="2"/>
        <v xml:space="preserve"> - </v>
      </c>
      <c r="H77" t="str">
        <f t="shared" si="3"/>
        <v/>
      </c>
    </row>
    <row r="78" spans="4:9" x14ac:dyDescent="0.35">
      <c r="D78" t="str">
        <f t="shared" si="2"/>
        <v xml:space="preserve"> - </v>
      </c>
      <c r="H78" t="str">
        <f t="shared" si="3"/>
        <v/>
      </c>
    </row>
    <row r="79" spans="4:9" x14ac:dyDescent="0.35">
      <c r="D79" t="str">
        <f t="shared" si="2"/>
        <v xml:space="preserve"> - </v>
      </c>
      <c r="H79" t="str">
        <f t="shared" si="3"/>
        <v/>
      </c>
    </row>
    <row r="80" spans="4:9" x14ac:dyDescent="0.35">
      <c r="D80" t="str">
        <f t="shared" si="2"/>
        <v xml:space="preserve"> - </v>
      </c>
      <c r="H80" t="str">
        <f t="shared" si="3"/>
        <v/>
      </c>
    </row>
    <row r="81" spans="4:9" x14ac:dyDescent="0.35">
      <c r="D81" t="str">
        <f t="shared" si="2"/>
        <v xml:space="preserve"> - </v>
      </c>
      <c r="H81" t="str">
        <f t="shared" si="3"/>
        <v/>
      </c>
    </row>
    <row r="82" spans="4:9" x14ac:dyDescent="0.35">
      <c r="D82" t="str">
        <f t="shared" si="2"/>
        <v xml:space="preserve"> - </v>
      </c>
      <c r="H82" t="str">
        <f t="shared" si="3"/>
        <v/>
      </c>
    </row>
    <row r="83" spans="4:9" x14ac:dyDescent="0.35">
      <c r="D83" t="str">
        <f t="shared" si="2"/>
        <v xml:space="preserve"> - </v>
      </c>
      <c r="H83" t="str">
        <f t="shared" si="3"/>
        <v/>
      </c>
    </row>
    <row r="84" spans="4:9" x14ac:dyDescent="0.35">
      <c r="D84" t="str">
        <f t="shared" si="2"/>
        <v xml:space="preserve"> - </v>
      </c>
      <c r="H84" t="str">
        <f t="shared" si="3"/>
        <v/>
      </c>
    </row>
    <row r="85" spans="4:9" x14ac:dyDescent="0.35">
      <c r="D85" t="str">
        <f t="shared" si="2"/>
        <v xml:space="preserve"> - </v>
      </c>
      <c r="H85" t="str">
        <f t="shared" si="3"/>
        <v/>
      </c>
    </row>
    <row r="86" spans="4:9" x14ac:dyDescent="0.35">
      <c r="D86" t="str">
        <f t="shared" ref="D86:D149" si="4">B86&amp;" - "&amp;C86</f>
        <v xml:space="preserve"> - </v>
      </c>
      <c r="H86" t="str">
        <f t="shared" si="3"/>
        <v/>
      </c>
    </row>
    <row r="87" spans="4:9" x14ac:dyDescent="0.35">
      <c r="D87" t="str">
        <f t="shared" si="4"/>
        <v xml:space="preserve"> - </v>
      </c>
      <c r="H87" t="str">
        <f t="shared" si="3"/>
        <v/>
      </c>
    </row>
    <row r="88" spans="4:9" x14ac:dyDescent="0.35">
      <c r="D88" t="str">
        <f t="shared" si="4"/>
        <v xml:space="preserve"> - </v>
      </c>
      <c r="H88" t="str">
        <f t="shared" si="3"/>
        <v/>
      </c>
    </row>
    <row r="89" spans="4:9" x14ac:dyDescent="0.35">
      <c r="D89" t="str">
        <f t="shared" si="4"/>
        <v xml:space="preserve"> - </v>
      </c>
      <c r="H89" t="str">
        <f t="shared" si="3"/>
        <v/>
      </c>
    </row>
    <row r="90" spans="4:9" x14ac:dyDescent="0.35">
      <c r="D90" t="str">
        <f t="shared" si="4"/>
        <v xml:space="preserve"> - </v>
      </c>
      <c r="H90" t="str">
        <f t="shared" si="3"/>
        <v/>
      </c>
    </row>
    <row r="91" spans="4:9" x14ac:dyDescent="0.35">
      <c r="D91" t="str">
        <f t="shared" si="4"/>
        <v xml:space="preserve"> - </v>
      </c>
      <c r="H91" t="str">
        <f t="shared" si="3"/>
        <v/>
      </c>
    </row>
    <row r="92" spans="4:9" x14ac:dyDescent="0.35">
      <c r="D92" t="str">
        <f t="shared" si="4"/>
        <v xml:space="preserve"> - </v>
      </c>
      <c r="H92" t="str">
        <f t="shared" si="3"/>
        <v/>
      </c>
    </row>
    <row r="93" spans="4:9" x14ac:dyDescent="0.35">
      <c r="D93" t="str">
        <f t="shared" si="4"/>
        <v xml:space="preserve"> - </v>
      </c>
      <c r="H93" t="str">
        <f t="shared" si="3"/>
        <v/>
      </c>
      <c r="I93" s="7"/>
    </row>
    <row r="94" spans="4:9" x14ac:dyDescent="0.35">
      <c r="D94" t="str">
        <f t="shared" si="4"/>
        <v xml:space="preserve"> - </v>
      </c>
      <c r="H94" t="str">
        <f t="shared" si="3"/>
        <v/>
      </c>
    </row>
    <row r="95" spans="4:9" x14ac:dyDescent="0.35">
      <c r="D95" t="str">
        <f t="shared" si="4"/>
        <v xml:space="preserve"> - </v>
      </c>
      <c r="H95" t="str">
        <f t="shared" si="3"/>
        <v/>
      </c>
    </row>
    <row r="96" spans="4:9" x14ac:dyDescent="0.35">
      <c r="D96" t="str">
        <f t="shared" si="4"/>
        <v xml:space="preserve"> - </v>
      </c>
      <c r="H96" t="str">
        <f t="shared" si="3"/>
        <v/>
      </c>
    </row>
    <row r="97" spans="4:9" x14ac:dyDescent="0.35">
      <c r="D97" t="str">
        <f t="shared" si="4"/>
        <v xml:space="preserve"> - </v>
      </c>
      <c r="H97" t="str">
        <f t="shared" si="3"/>
        <v/>
      </c>
    </row>
    <row r="98" spans="4:9" x14ac:dyDescent="0.35">
      <c r="D98" t="str">
        <f t="shared" si="4"/>
        <v xml:space="preserve"> - </v>
      </c>
      <c r="H98" t="str">
        <f t="shared" si="3"/>
        <v/>
      </c>
    </row>
    <row r="99" spans="4:9" x14ac:dyDescent="0.35">
      <c r="D99" t="str">
        <f t="shared" si="4"/>
        <v xml:space="preserve"> - </v>
      </c>
      <c r="H99" t="str">
        <f t="shared" si="3"/>
        <v/>
      </c>
    </row>
    <row r="100" spans="4:9" x14ac:dyDescent="0.35">
      <c r="D100" t="str">
        <f t="shared" si="4"/>
        <v xml:space="preserve"> - </v>
      </c>
      <c r="H100" t="str">
        <f t="shared" si="3"/>
        <v/>
      </c>
    </row>
    <row r="101" spans="4:9" x14ac:dyDescent="0.35">
      <c r="D101" t="str">
        <f t="shared" si="4"/>
        <v xml:space="preserve"> - </v>
      </c>
      <c r="H101" t="str">
        <f t="shared" si="3"/>
        <v/>
      </c>
    </row>
    <row r="102" spans="4:9" x14ac:dyDescent="0.35">
      <c r="D102" t="str">
        <f t="shared" si="4"/>
        <v xml:space="preserve"> - </v>
      </c>
      <c r="H102" t="str">
        <f t="shared" si="3"/>
        <v/>
      </c>
    </row>
    <row r="103" spans="4:9" x14ac:dyDescent="0.35">
      <c r="D103" t="str">
        <f t="shared" si="4"/>
        <v xml:space="preserve"> - </v>
      </c>
      <c r="H103" t="str">
        <f t="shared" si="3"/>
        <v/>
      </c>
    </row>
    <row r="104" spans="4:9" x14ac:dyDescent="0.35">
      <c r="D104" t="str">
        <f t="shared" si="4"/>
        <v xml:space="preserve"> - </v>
      </c>
      <c r="H104" t="str">
        <f t="shared" si="3"/>
        <v/>
      </c>
    </row>
    <row r="105" spans="4:9" x14ac:dyDescent="0.35">
      <c r="D105" t="str">
        <f t="shared" si="4"/>
        <v xml:space="preserve"> - </v>
      </c>
      <c r="H105" t="str">
        <f t="shared" si="3"/>
        <v/>
      </c>
    </row>
    <row r="106" spans="4:9" x14ac:dyDescent="0.35">
      <c r="D106" t="str">
        <f t="shared" si="4"/>
        <v xml:space="preserve"> - </v>
      </c>
      <c r="H106" t="str">
        <f t="shared" si="3"/>
        <v/>
      </c>
    </row>
    <row r="107" spans="4:9" x14ac:dyDescent="0.35">
      <c r="D107" t="str">
        <f t="shared" si="4"/>
        <v xml:space="preserve"> - </v>
      </c>
      <c r="H107" t="str">
        <f t="shared" si="3"/>
        <v/>
      </c>
    </row>
    <row r="108" spans="4:9" x14ac:dyDescent="0.35">
      <c r="D108" t="str">
        <f t="shared" si="4"/>
        <v xml:space="preserve"> - </v>
      </c>
      <c r="H108" t="str">
        <f t="shared" si="3"/>
        <v/>
      </c>
    </row>
    <row r="109" spans="4:9" x14ac:dyDescent="0.35">
      <c r="D109" t="str">
        <f t="shared" si="4"/>
        <v xml:space="preserve"> - </v>
      </c>
      <c r="H109" t="str">
        <f t="shared" si="3"/>
        <v/>
      </c>
    </row>
    <row r="110" spans="4:9" x14ac:dyDescent="0.35">
      <c r="D110" t="str">
        <f t="shared" si="4"/>
        <v xml:space="preserve"> - </v>
      </c>
      <c r="H110" t="str">
        <f t="shared" si="3"/>
        <v/>
      </c>
    </row>
    <row r="111" spans="4:9" x14ac:dyDescent="0.35">
      <c r="D111" t="str">
        <f t="shared" si="4"/>
        <v xml:space="preserve"> - </v>
      </c>
      <c r="H111" t="str">
        <f t="shared" si="3"/>
        <v/>
      </c>
      <c r="I111" s="7"/>
    </row>
    <row r="112" spans="4:9" x14ac:dyDescent="0.35">
      <c r="D112" t="str">
        <f t="shared" si="4"/>
        <v xml:space="preserve"> - </v>
      </c>
      <c r="H112" t="str">
        <f t="shared" si="3"/>
        <v/>
      </c>
    </row>
    <row r="113" spans="4:8" x14ac:dyDescent="0.35">
      <c r="D113" t="str">
        <f t="shared" si="4"/>
        <v xml:space="preserve"> - </v>
      </c>
      <c r="H113" t="str">
        <f t="shared" si="3"/>
        <v/>
      </c>
    </row>
    <row r="114" spans="4:8" x14ac:dyDescent="0.35">
      <c r="D114" t="str">
        <f t="shared" si="4"/>
        <v xml:space="preserve"> - </v>
      </c>
      <c r="H114" t="str">
        <f t="shared" si="3"/>
        <v/>
      </c>
    </row>
    <row r="115" spans="4:8" x14ac:dyDescent="0.35">
      <c r="D115" t="str">
        <f t="shared" si="4"/>
        <v xml:space="preserve"> - </v>
      </c>
      <c r="H115" t="str">
        <f t="shared" si="3"/>
        <v/>
      </c>
    </row>
    <row r="116" spans="4:8" x14ac:dyDescent="0.35">
      <c r="D116" t="str">
        <f t="shared" si="4"/>
        <v xml:space="preserve"> - </v>
      </c>
      <c r="H116" t="str">
        <f t="shared" si="3"/>
        <v/>
      </c>
    </row>
    <row r="117" spans="4:8" x14ac:dyDescent="0.35">
      <c r="D117" t="str">
        <f t="shared" si="4"/>
        <v xml:space="preserve"> - </v>
      </c>
      <c r="H117" t="str">
        <f t="shared" si="3"/>
        <v/>
      </c>
    </row>
    <row r="118" spans="4:8" x14ac:dyDescent="0.35">
      <c r="D118" t="str">
        <f t="shared" si="4"/>
        <v xml:space="preserve"> - </v>
      </c>
      <c r="H118" t="str">
        <f t="shared" si="3"/>
        <v/>
      </c>
    </row>
    <row r="119" spans="4:8" x14ac:dyDescent="0.35">
      <c r="D119" t="str">
        <f t="shared" si="4"/>
        <v xml:space="preserve"> - </v>
      </c>
      <c r="H119" t="str">
        <f t="shared" si="3"/>
        <v/>
      </c>
    </row>
    <row r="120" spans="4:8" x14ac:dyDescent="0.35">
      <c r="D120" t="str">
        <f t="shared" si="4"/>
        <v xml:space="preserve"> - </v>
      </c>
      <c r="H120" t="str">
        <f t="shared" si="3"/>
        <v/>
      </c>
    </row>
    <row r="121" spans="4:8" x14ac:dyDescent="0.35">
      <c r="D121" t="str">
        <f t="shared" si="4"/>
        <v xml:space="preserve"> - </v>
      </c>
      <c r="H121" t="str">
        <f t="shared" si="3"/>
        <v/>
      </c>
    </row>
    <row r="122" spans="4:8" x14ac:dyDescent="0.35">
      <c r="D122" t="str">
        <f t="shared" si="4"/>
        <v xml:space="preserve"> - </v>
      </c>
      <c r="H122" t="str">
        <f t="shared" si="3"/>
        <v/>
      </c>
    </row>
    <row r="123" spans="4:8" x14ac:dyDescent="0.35">
      <c r="D123" t="str">
        <f t="shared" si="4"/>
        <v xml:space="preserve"> - </v>
      </c>
      <c r="H123" t="str">
        <f t="shared" si="3"/>
        <v/>
      </c>
    </row>
    <row r="124" spans="4:8" x14ac:dyDescent="0.35">
      <c r="D124" t="str">
        <f t="shared" si="4"/>
        <v xml:space="preserve"> - </v>
      </c>
      <c r="H124" t="str">
        <f t="shared" si="3"/>
        <v/>
      </c>
    </row>
    <row r="125" spans="4:8" x14ac:dyDescent="0.35">
      <c r="D125" t="str">
        <f t="shared" si="4"/>
        <v xml:space="preserve"> - </v>
      </c>
      <c r="H125" t="str">
        <f t="shared" si="3"/>
        <v/>
      </c>
    </row>
    <row r="126" spans="4:8" x14ac:dyDescent="0.35">
      <c r="D126" t="str">
        <f t="shared" si="4"/>
        <v xml:space="preserve"> - </v>
      </c>
      <c r="H126" t="str">
        <f t="shared" si="3"/>
        <v/>
      </c>
    </row>
    <row r="127" spans="4:8" x14ac:dyDescent="0.35">
      <c r="D127" t="str">
        <f t="shared" si="4"/>
        <v xml:space="preserve"> - </v>
      </c>
      <c r="H127" t="str">
        <f t="shared" si="3"/>
        <v/>
      </c>
    </row>
    <row r="128" spans="4:8" x14ac:dyDescent="0.35">
      <c r="D128" t="str">
        <f t="shared" si="4"/>
        <v xml:space="preserve"> - </v>
      </c>
      <c r="H128" t="str">
        <f t="shared" si="3"/>
        <v/>
      </c>
    </row>
    <row r="129" spans="4:9" x14ac:dyDescent="0.35">
      <c r="D129" t="str">
        <f t="shared" si="4"/>
        <v xml:space="preserve"> - </v>
      </c>
      <c r="H129" t="str">
        <f t="shared" si="3"/>
        <v/>
      </c>
      <c r="I129" s="7"/>
    </row>
    <row r="130" spans="4:9" x14ac:dyDescent="0.35">
      <c r="D130" t="str">
        <f t="shared" si="4"/>
        <v xml:space="preserve"> - </v>
      </c>
      <c r="H130" t="str">
        <f t="shared" si="3"/>
        <v/>
      </c>
    </row>
    <row r="131" spans="4:9" x14ac:dyDescent="0.35">
      <c r="D131" t="str">
        <f t="shared" si="4"/>
        <v xml:space="preserve"> - </v>
      </c>
      <c r="H131" t="str">
        <f t="shared" si="3"/>
        <v/>
      </c>
    </row>
    <row r="132" spans="4:9" x14ac:dyDescent="0.35">
      <c r="D132" t="str">
        <f t="shared" si="4"/>
        <v xml:space="preserve"> - </v>
      </c>
      <c r="H132" t="str">
        <f t="shared" ref="H132:H195" si="5">IF(E132="x","Economic - "&amp;G132,IF(F132="x","Environmental - "&amp;G132,""))</f>
        <v/>
      </c>
    </row>
    <row r="133" spans="4:9" x14ac:dyDescent="0.35">
      <c r="D133" t="str">
        <f t="shared" si="4"/>
        <v xml:space="preserve"> - </v>
      </c>
      <c r="H133" t="str">
        <f t="shared" si="5"/>
        <v/>
      </c>
    </row>
    <row r="134" spans="4:9" x14ac:dyDescent="0.35">
      <c r="D134" t="str">
        <f t="shared" si="4"/>
        <v xml:space="preserve"> - </v>
      </c>
      <c r="H134" t="str">
        <f t="shared" si="5"/>
        <v/>
      </c>
    </row>
    <row r="135" spans="4:9" x14ac:dyDescent="0.35">
      <c r="D135" t="str">
        <f t="shared" si="4"/>
        <v xml:space="preserve"> - </v>
      </c>
      <c r="H135" t="str">
        <f t="shared" si="5"/>
        <v/>
      </c>
    </row>
    <row r="136" spans="4:9" x14ac:dyDescent="0.35">
      <c r="D136" t="str">
        <f t="shared" si="4"/>
        <v xml:space="preserve"> - </v>
      </c>
      <c r="H136" t="str">
        <f t="shared" si="5"/>
        <v/>
      </c>
    </row>
    <row r="137" spans="4:9" x14ac:dyDescent="0.35">
      <c r="D137" t="str">
        <f t="shared" si="4"/>
        <v xml:space="preserve"> - </v>
      </c>
      <c r="H137" t="str">
        <f t="shared" si="5"/>
        <v/>
      </c>
    </row>
    <row r="138" spans="4:9" x14ac:dyDescent="0.35">
      <c r="D138" t="str">
        <f t="shared" si="4"/>
        <v xml:space="preserve"> - </v>
      </c>
      <c r="H138" t="str">
        <f t="shared" si="5"/>
        <v/>
      </c>
    </row>
    <row r="139" spans="4:9" x14ac:dyDescent="0.35">
      <c r="D139" t="str">
        <f t="shared" si="4"/>
        <v xml:space="preserve"> - </v>
      </c>
      <c r="H139" t="str">
        <f t="shared" si="5"/>
        <v/>
      </c>
    </row>
    <row r="140" spans="4:9" x14ac:dyDescent="0.35">
      <c r="D140" t="str">
        <f t="shared" si="4"/>
        <v xml:space="preserve"> - </v>
      </c>
      <c r="H140" t="str">
        <f t="shared" si="5"/>
        <v/>
      </c>
    </row>
    <row r="141" spans="4:9" x14ac:dyDescent="0.35">
      <c r="D141" t="str">
        <f t="shared" si="4"/>
        <v xml:space="preserve"> - </v>
      </c>
      <c r="H141" t="str">
        <f t="shared" si="5"/>
        <v/>
      </c>
    </row>
    <row r="142" spans="4:9" x14ac:dyDescent="0.35">
      <c r="D142" t="str">
        <f t="shared" si="4"/>
        <v xml:space="preserve"> - </v>
      </c>
      <c r="H142" t="str">
        <f t="shared" si="5"/>
        <v/>
      </c>
    </row>
    <row r="143" spans="4:9" x14ac:dyDescent="0.35">
      <c r="D143" t="str">
        <f t="shared" si="4"/>
        <v xml:space="preserve"> - </v>
      </c>
      <c r="H143" t="str">
        <f t="shared" si="5"/>
        <v/>
      </c>
    </row>
    <row r="144" spans="4:9" x14ac:dyDescent="0.35">
      <c r="D144" t="str">
        <f t="shared" si="4"/>
        <v xml:space="preserve"> - </v>
      </c>
      <c r="H144" t="str">
        <f t="shared" si="5"/>
        <v/>
      </c>
    </row>
    <row r="145" spans="4:9" x14ac:dyDescent="0.35">
      <c r="D145" t="str">
        <f t="shared" si="4"/>
        <v xml:space="preserve"> - </v>
      </c>
      <c r="H145" t="str">
        <f t="shared" si="5"/>
        <v/>
      </c>
    </row>
    <row r="146" spans="4:9" x14ac:dyDescent="0.35">
      <c r="D146" t="str">
        <f t="shared" si="4"/>
        <v xml:space="preserve"> - </v>
      </c>
      <c r="H146" t="str">
        <f t="shared" si="5"/>
        <v/>
      </c>
    </row>
    <row r="147" spans="4:9" x14ac:dyDescent="0.35">
      <c r="D147" t="str">
        <f t="shared" si="4"/>
        <v xml:space="preserve"> - </v>
      </c>
      <c r="H147" t="str">
        <f t="shared" si="5"/>
        <v/>
      </c>
      <c r="I147" s="7"/>
    </row>
    <row r="148" spans="4:9" x14ac:dyDescent="0.35">
      <c r="D148" t="str">
        <f t="shared" si="4"/>
        <v xml:space="preserve"> - </v>
      </c>
      <c r="H148" t="str">
        <f t="shared" si="5"/>
        <v/>
      </c>
    </row>
    <row r="149" spans="4:9" x14ac:dyDescent="0.35">
      <c r="D149" t="str">
        <f t="shared" si="4"/>
        <v xml:space="preserve"> - </v>
      </c>
      <c r="H149" t="str">
        <f t="shared" si="5"/>
        <v/>
      </c>
    </row>
    <row r="150" spans="4:9" x14ac:dyDescent="0.35">
      <c r="D150" t="str">
        <f t="shared" ref="D150:D213" si="6">B150&amp;" - "&amp;C150</f>
        <v xml:space="preserve"> - </v>
      </c>
      <c r="H150" t="str">
        <f t="shared" si="5"/>
        <v/>
      </c>
    </row>
    <row r="151" spans="4:9" x14ac:dyDescent="0.35">
      <c r="D151" t="str">
        <f t="shared" si="6"/>
        <v xml:space="preserve"> - </v>
      </c>
      <c r="H151" t="str">
        <f t="shared" si="5"/>
        <v/>
      </c>
    </row>
    <row r="152" spans="4:9" x14ac:dyDescent="0.35">
      <c r="D152" t="str">
        <f t="shared" si="6"/>
        <v xml:space="preserve"> - </v>
      </c>
      <c r="H152" t="str">
        <f t="shared" si="5"/>
        <v/>
      </c>
    </row>
    <row r="153" spans="4:9" x14ac:dyDescent="0.35">
      <c r="D153" t="str">
        <f t="shared" si="6"/>
        <v xml:space="preserve"> - </v>
      </c>
      <c r="H153" t="str">
        <f t="shared" si="5"/>
        <v/>
      </c>
    </row>
    <row r="154" spans="4:9" x14ac:dyDescent="0.35">
      <c r="D154" t="str">
        <f t="shared" si="6"/>
        <v xml:space="preserve"> - </v>
      </c>
      <c r="H154" t="str">
        <f t="shared" si="5"/>
        <v/>
      </c>
    </row>
    <row r="155" spans="4:9" x14ac:dyDescent="0.35">
      <c r="D155" t="str">
        <f t="shared" si="6"/>
        <v xml:space="preserve"> - </v>
      </c>
      <c r="H155" t="str">
        <f t="shared" si="5"/>
        <v/>
      </c>
    </row>
    <row r="156" spans="4:9" x14ac:dyDescent="0.35">
      <c r="D156" t="str">
        <f t="shared" si="6"/>
        <v xml:space="preserve"> - </v>
      </c>
      <c r="H156" t="str">
        <f t="shared" si="5"/>
        <v/>
      </c>
    </row>
    <row r="157" spans="4:9" x14ac:dyDescent="0.35">
      <c r="D157" t="str">
        <f t="shared" si="6"/>
        <v xml:space="preserve"> - </v>
      </c>
      <c r="H157" t="str">
        <f t="shared" si="5"/>
        <v/>
      </c>
    </row>
    <row r="158" spans="4:9" x14ac:dyDescent="0.35">
      <c r="D158" t="str">
        <f t="shared" si="6"/>
        <v xml:space="preserve"> - </v>
      </c>
      <c r="H158" t="str">
        <f t="shared" si="5"/>
        <v/>
      </c>
    </row>
    <row r="159" spans="4:9" x14ac:dyDescent="0.35">
      <c r="D159" t="str">
        <f t="shared" si="6"/>
        <v xml:space="preserve"> - </v>
      </c>
      <c r="H159" t="str">
        <f t="shared" si="5"/>
        <v/>
      </c>
    </row>
    <row r="160" spans="4:9" x14ac:dyDescent="0.35">
      <c r="D160" t="str">
        <f t="shared" si="6"/>
        <v xml:space="preserve"> - </v>
      </c>
      <c r="H160" t="str">
        <f t="shared" si="5"/>
        <v/>
      </c>
    </row>
    <row r="161" spans="4:9" x14ac:dyDescent="0.35">
      <c r="D161" t="str">
        <f t="shared" si="6"/>
        <v xml:space="preserve"> - </v>
      </c>
      <c r="H161" t="str">
        <f t="shared" si="5"/>
        <v/>
      </c>
    </row>
    <row r="162" spans="4:9" x14ac:dyDescent="0.35">
      <c r="D162" t="str">
        <f t="shared" si="6"/>
        <v xml:space="preserve"> - </v>
      </c>
      <c r="H162" t="str">
        <f t="shared" si="5"/>
        <v/>
      </c>
    </row>
    <row r="163" spans="4:9" x14ac:dyDescent="0.35">
      <c r="D163" t="str">
        <f t="shared" si="6"/>
        <v xml:space="preserve"> - </v>
      </c>
      <c r="H163" t="str">
        <f t="shared" si="5"/>
        <v/>
      </c>
    </row>
    <row r="164" spans="4:9" x14ac:dyDescent="0.35">
      <c r="D164" t="str">
        <f t="shared" si="6"/>
        <v xml:space="preserve"> - </v>
      </c>
      <c r="H164" t="str">
        <f t="shared" si="5"/>
        <v/>
      </c>
    </row>
    <row r="165" spans="4:9" x14ac:dyDescent="0.35">
      <c r="D165" t="str">
        <f t="shared" si="6"/>
        <v xml:space="preserve"> - </v>
      </c>
      <c r="H165" t="str">
        <f t="shared" si="5"/>
        <v/>
      </c>
      <c r="I165" s="7"/>
    </row>
    <row r="166" spans="4:9" x14ac:dyDescent="0.35">
      <c r="D166" t="str">
        <f t="shared" si="6"/>
        <v xml:space="preserve"> - </v>
      </c>
      <c r="H166" t="str">
        <f t="shared" si="5"/>
        <v/>
      </c>
    </row>
    <row r="167" spans="4:9" x14ac:dyDescent="0.35">
      <c r="D167" t="str">
        <f t="shared" si="6"/>
        <v xml:space="preserve"> - </v>
      </c>
      <c r="H167" t="str">
        <f t="shared" si="5"/>
        <v/>
      </c>
    </row>
    <row r="168" spans="4:9" x14ac:dyDescent="0.35">
      <c r="D168" t="str">
        <f t="shared" si="6"/>
        <v xml:space="preserve"> - </v>
      </c>
      <c r="H168" t="str">
        <f t="shared" si="5"/>
        <v/>
      </c>
    </row>
    <row r="169" spans="4:9" x14ac:dyDescent="0.35">
      <c r="D169" t="str">
        <f t="shared" si="6"/>
        <v xml:space="preserve"> - </v>
      </c>
      <c r="H169" t="str">
        <f t="shared" si="5"/>
        <v/>
      </c>
    </row>
    <row r="170" spans="4:9" x14ac:dyDescent="0.35">
      <c r="D170" t="str">
        <f t="shared" si="6"/>
        <v xml:space="preserve"> - </v>
      </c>
      <c r="H170" t="str">
        <f t="shared" si="5"/>
        <v/>
      </c>
    </row>
    <row r="171" spans="4:9" x14ac:dyDescent="0.35">
      <c r="D171" t="str">
        <f t="shared" si="6"/>
        <v xml:space="preserve"> - </v>
      </c>
      <c r="H171" t="str">
        <f t="shared" si="5"/>
        <v/>
      </c>
    </row>
    <row r="172" spans="4:9" x14ac:dyDescent="0.35">
      <c r="D172" t="str">
        <f t="shared" si="6"/>
        <v xml:space="preserve"> - </v>
      </c>
      <c r="H172" t="str">
        <f t="shared" si="5"/>
        <v/>
      </c>
    </row>
    <row r="173" spans="4:9" x14ac:dyDescent="0.35">
      <c r="D173" t="str">
        <f t="shared" si="6"/>
        <v xml:space="preserve"> - </v>
      </c>
      <c r="H173" t="str">
        <f t="shared" si="5"/>
        <v/>
      </c>
    </row>
    <row r="174" spans="4:9" x14ac:dyDescent="0.35">
      <c r="D174" t="str">
        <f t="shared" si="6"/>
        <v xml:space="preserve"> - </v>
      </c>
      <c r="H174" t="str">
        <f t="shared" si="5"/>
        <v/>
      </c>
    </row>
    <row r="175" spans="4:9" x14ac:dyDescent="0.35">
      <c r="D175" t="str">
        <f t="shared" si="6"/>
        <v xml:space="preserve"> - </v>
      </c>
      <c r="H175" t="str">
        <f t="shared" si="5"/>
        <v/>
      </c>
    </row>
    <row r="176" spans="4:9" x14ac:dyDescent="0.35">
      <c r="D176" t="str">
        <f t="shared" si="6"/>
        <v xml:space="preserve"> - </v>
      </c>
      <c r="H176" t="str">
        <f t="shared" si="5"/>
        <v/>
      </c>
    </row>
    <row r="177" spans="4:9" x14ac:dyDescent="0.35">
      <c r="D177" t="str">
        <f t="shared" si="6"/>
        <v xml:space="preserve"> - </v>
      </c>
      <c r="H177" t="str">
        <f t="shared" si="5"/>
        <v/>
      </c>
    </row>
    <row r="178" spans="4:9" x14ac:dyDescent="0.35">
      <c r="D178" t="str">
        <f t="shared" si="6"/>
        <v xml:space="preserve"> - </v>
      </c>
      <c r="H178" t="str">
        <f t="shared" si="5"/>
        <v/>
      </c>
    </row>
    <row r="179" spans="4:9" x14ac:dyDescent="0.35">
      <c r="D179" t="str">
        <f t="shared" si="6"/>
        <v xml:space="preserve"> - </v>
      </c>
      <c r="H179" t="str">
        <f t="shared" si="5"/>
        <v/>
      </c>
    </row>
    <row r="180" spans="4:9" x14ac:dyDescent="0.35">
      <c r="D180" t="str">
        <f t="shared" si="6"/>
        <v xml:space="preserve"> - </v>
      </c>
      <c r="H180" t="str">
        <f t="shared" si="5"/>
        <v/>
      </c>
    </row>
    <row r="181" spans="4:9" x14ac:dyDescent="0.35">
      <c r="D181" t="str">
        <f t="shared" si="6"/>
        <v xml:space="preserve"> - </v>
      </c>
      <c r="H181" t="str">
        <f t="shared" si="5"/>
        <v/>
      </c>
    </row>
    <row r="182" spans="4:9" x14ac:dyDescent="0.35">
      <c r="D182" t="str">
        <f t="shared" si="6"/>
        <v xml:space="preserve"> - </v>
      </c>
      <c r="H182" t="str">
        <f t="shared" si="5"/>
        <v/>
      </c>
    </row>
    <row r="183" spans="4:9" x14ac:dyDescent="0.35">
      <c r="D183" t="str">
        <f t="shared" si="6"/>
        <v xml:space="preserve"> - </v>
      </c>
      <c r="H183" t="str">
        <f t="shared" si="5"/>
        <v/>
      </c>
      <c r="I183" s="7"/>
    </row>
    <row r="184" spans="4:9" x14ac:dyDescent="0.35">
      <c r="D184" t="str">
        <f t="shared" si="6"/>
        <v xml:space="preserve"> - </v>
      </c>
      <c r="H184" t="str">
        <f t="shared" si="5"/>
        <v/>
      </c>
    </row>
    <row r="185" spans="4:9" x14ac:dyDescent="0.35">
      <c r="D185" t="str">
        <f t="shared" si="6"/>
        <v xml:space="preserve"> - </v>
      </c>
      <c r="H185" t="str">
        <f t="shared" si="5"/>
        <v/>
      </c>
    </row>
    <row r="186" spans="4:9" x14ac:dyDescent="0.35">
      <c r="D186" t="str">
        <f t="shared" si="6"/>
        <v xml:space="preserve"> - </v>
      </c>
      <c r="H186" t="str">
        <f t="shared" si="5"/>
        <v/>
      </c>
    </row>
    <row r="187" spans="4:9" x14ac:dyDescent="0.35">
      <c r="D187" t="str">
        <f t="shared" si="6"/>
        <v xml:space="preserve"> - </v>
      </c>
      <c r="H187" t="str">
        <f t="shared" si="5"/>
        <v/>
      </c>
    </row>
    <row r="188" spans="4:9" x14ac:dyDescent="0.35">
      <c r="D188" t="str">
        <f t="shared" si="6"/>
        <v xml:space="preserve"> - </v>
      </c>
      <c r="H188" t="str">
        <f t="shared" si="5"/>
        <v/>
      </c>
    </row>
    <row r="189" spans="4:9" x14ac:dyDescent="0.35">
      <c r="D189" t="str">
        <f t="shared" si="6"/>
        <v xml:space="preserve"> - </v>
      </c>
      <c r="H189" t="str">
        <f t="shared" si="5"/>
        <v/>
      </c>
    </row>
    <row r="190" spans="4:9" x14ac:dyDescent="0.35">
      <c r="D190" t="str">
        <f t="shared" si="6"/>
        <v xml:space="preserve"> - </v>
      </c>
      <c r="H190" t="str">
        <f t="shared" si="5"/>
        <v/>
      </c>
    </row>
    <row r="191" spans="4:9" x14ac:dyDescent="0.35">
      <c r="D191" t="str">
        <f t="shared" si="6"/>
        <v xml:space="preserve"> - </v>
      </c>
      <c r="H191" t="str">
        <f t="shared" si="5"/>
        <v/>
      </c>
    </row>
    <row r="192" spans="4:9" x14ac:dyDescent="0.35">
      <c r="D192" t="str">
        <f t="shared" si="6"/>
        <v xml:space="preserve"> - </v>
      </c>
      <c r="H192" t="str">
        <f t="shared" si="5"/>
        <v/>
      </c>
    </row>
    <row r="193" spans="4:9" x14ac:dyDescent="0.35">
      <c r="D193" t="str">
        <f t="shared" si="6"/>
        <v xml:space="preserve"> - </v>
      </c>
      <c r="H193" t="str">
        <f t="shared" si="5"/>
        <v/>
      </c>
    </row>
    <row r="194" spans="4:9" x14ac:dyDescent="0.35">
      <c r="D194" t="str">
        <f t="shared" si="6"/>
        <v xml:space="preserve"> - </v>
      </c>
      <c r="H194" t="str">
        <f t="shared" si="5"/>
        <v/>
      </c>
    </row>
    <row r="195" spans="4:9" x14ac:dyDescent="0.35">
      <c r="D195" t="str">
        <f t="shared" si="6"/>
        <v xml:space="preserve"> - </v>
      </c>
      <c r="H195" t="str">
        <f t="shared" si="5"/>
        <v/>
      </c>
    </row>
    <row r="196" spans="4:9" x14ac:dyDescent="0.35">
      <c r="D196" t="str">
        <f t="shared" si="6"/>
        <v xml:space="preserve"> - </v>
      </c>
      <c r="H196" t="str">
        <f t="shared" ref="H196:H259" si="7">IF(E196="x","Economic - "&amp;G196,IF(F196="x","Environmental - "&amp;G196,""))</f>
        <v/>
      </c>
    </row>
    <row r="197" spans="4:9" x14ac:dyDescent="0.35">
      <c r="D197" t="str">
        <f t="shared" si="6"/>
        <v xml:space="preserve"> - </v>
      </c>
      <c r="H197" t="str">
        <f t="shared" si="7"/>
        <v/>
      </c>
    </row>
    <row r="198" spans="4:9" x14ac:dyDescent="0.35">
      <c r="D198" t="str">
        <f t="shared" si="6"/>
        <v xml:space="preserve"> - </v>
      </c>
      <c r="H198" t="str">
        <f t="shared" si="7"/>
        <v/>
      </c>
    </row>
    <row r="199" spans="4:9" x14ac:dyDescent="0.35">
      <c r="D199" t="str">
        <f t="shared" si="6"/>
        <v xml:space="preserve"> - </v>
      </c>
      <c r="H199" t="str">
        <f t="shared" si="7"/>
        <v/>
      </c>
    </row>
    <row r="200" spans="4:9" x14ac:dyDescent="0.35">
      <c r="D200" t="str">
        <f t="shared" si="6"/>
        <v xml:space="preserve"> - </v>
      </c>
      <c r="H200" t="str">
        <f t="shared" si="7"/>
        <v/>
      </c>
    </row>
    <row r="201" spans="4:9" x14ac:dyDescent="0.35">
      <c r="D201" t="str">
        <f t="shared" si="6"/>
        <v xml:space="preserve"> - </v>
      </c>
      <c r="H201" t="str">
        <f t="shared" si="7"/>
        <v/>
      </c>
      <c r="I201" s="7"/>
    </row>
    <row r="202" spans="4:9" x14ac:dyDescent="0.35">
      <c r="D202" t="str">
        <f t="shared" si="6"/>
        <v xml:space="preserve"> - </v>
      </c>
      <c r="H202" t="str">
        <f t="shared" si="7"/>
        <v/>
      </c>
    </row>
    <row r="203" spans="4:9" x14ac:dyDescent="0.35">
      <c r="D203" t="str">
        <f t="shared" si="6"/>
        <v xml:space="preserve"> - </v>
      </c>
      <c r="H203" t="str">
        <f t="shared" si="7"/>
        <v/>
      </c>
    </row>
    <row r="204" spans="4:9" x14ac:dyDescent="0.35">
      <c r="D204" t="str">
        <f t="shared" si="6"/>
        <v xml:space="preserve"> - </v>
      </c>
      <c r="H204" t="str">
        <f t="shared" si="7"/>
        <v/>
      </c>
    </row>
    <row r="205" spans="4:9" x14ac:dyDescent="0.35">
      <c r="D205" t="str">
        <f t="shared" si="6"/>
        <v xml:space="preserve"> - </v>
      </c>
      <c r="H205" t="str">
        <f t="shared" si="7"/>
        <v/>
      </c>
    </row>
    <row r="206" spans="4:9" x14ac:dyDescent="0.35">
      <c r="D206" t="str">
        <f t="shared" si="6"/>
        <v xml:space="preserve"> - </v>
      </c>
      <c r="H206" t="str">
        <f t="shared" si="7"/>
        <v/>
      </c>
    </row>
    <row r="207" spans="4:9" x14ac:dyDescent="0.35">
      <c r="D207" t="str">
        <f t="shared" si="6"/>
        <v xml:space="preserve"> - </v>
      </c>
      <c r="H207" t="str">
        <f t="shared" si="7"/>
        <v/>
      </c>
    </row>
    <row r="208" spans="4:9" x14ac:dyDescent="0.35">
      <c r="D208" t="str">
        <f t="shared" si="6"/>
        <v xml:space="preserve"> - </v>
      </c>
      <c r="H208" t="str">
        <f t="shared" si="7"/>
        <v/>
      </c>
    </row>
    <row r="209" spans="4:9" x14ac:dyDescent="0.35">
      <c r="D209" t="str">
        <f t="shared" si="6"/>
        <v xml:space="preserve"> - </v>
      </c>
      <c r="H209" t="str">
        <f t="shared" si="7"/>
        <v/>
      </c>
    </row>
    <row r="210" spans="4:9" x14ac:dyDescent="0.35">
      <c r="D210" t="str">
        <f t="shared" si="6"/>
        <v xml:space="preserve"> - </v>
      </c>
      <c r="H210" t="str">
        <f t="shared" si="7"/>
        <v/>
      </c>
    </row>
    <row r="211" spans="4:9" x14ac:dyDescent="0.35">
      <c r="D211" t="str">
        <f t="shared" si="6"/>
        <v xml:space="preserve"> - </v>
      </c>
      <c r="H211" t="str">
        <f t="shared" si="7"/>
        <v/>
      </c>
    </row>
    <row r="212" spans="4:9" x14ac:dyDescent="0.35">
      <c r="D212" t="str">
        <f t="shared" si="6"/>
        <v xml:space="preserve"> - </v>
      </c>
      <c r="H212" t="str">
        <f t="shared" si="7"/>
        <v/>
      </c>
    </row>
    <row r="213" spans="4:9" x14ac:dyDescent="0.35">
      <c r="D213" t="str">
        <f t="shared" si="6"/>
        <v xml:space="preserve"> - </v>
      </c>
      <c r="H213" t="str">
        <f t="shared" si="7"/>
        <v/>
      </c>
    </row>
    <row r="214" spans="4:9" x14ac:dyDescent="0.35">
      <c r="D214" t="str">
        <f t="shared" ref="D214:D277" si="8">B214&amp;" - "&amp;C214</f>
        <v xml:space="preserve"> - </v>
      </c>
      <c r="H214" t="str">
        <f t="shared" si="7"/>
        <v/>
      </c>
    </row>
    <row r="215" spans="4:9" x14ac:dyDescent="0.35">
      <c r="D215" t="str">
        <f t="shared" si="8"/>
        <v xml:space="preserve"> - </v>
      </c>
      <c r="H215" t="str">
        <f t="shared" si="7"/>
        <v/>
      </c>
    </row>
    <row r="216" spans="4:9" x14ac:dyDescent="0.35">
      <c r="D216" t="str">
        <f t="shared" si="8"/>
        <v xml:space="preserve"> - </v>
      </c>
      <c r="H216" t="str">
        <f t="shared" si="7"/>
        <v/>
      </c>
    </row>
    <row r="217" spans="4:9" x14ac:dyDescent="0.35">
      <c r="D217" t="str">
        <f t="shared" si="8"/>
        <v xml:space="preserve"> - </v>
      </c>
      <c r="H217" t="str">
        <f t="shared" si="7"/>
        <v/>
      </c>
    </row>
    <row r="218" spans="4:9" x14ac:dyDescent="0.35">
      <c r="D218" t="str">
        <f t="shared" si="8"/>
        <v xml:space="preserve"> - </v>
      </c>
      <c r="H218" t="str">
        <f t="shared" si="7"/>
        <v/>
      </c>
    </row>
    <row r="219" spans="4:9" x14ac:dyDescent="0.35">
      <c r="D219" t="str">
        <f t="shared" si="8"/>
        <v xml:space="preserve"> - </v>
      </c>
      <c r="H219" t="str">
        <f t="shared" si="7"/>
        <v/>
      </c>
      <c r="I219" s="7"/>
    </row>
    <row r="220" spans="4:9" x14ac:dyDescent="0.35">
      <c r="D220" t="str">
        <f t="shared" si="8"/>
        <v xml:space="preserve"> - </v>
      </c>
      <c r="H220" t="str">
        <f t="shared" si="7"/>
        <v/>
      </c>
    </row>
    <row r="221" spans="4:9" x14ac:dyDescent="0.35">
      <c r="D221" t="str">
        <f t="shared" si="8"/>
        <v xml:space="preserve"> - </v>
      </c>
      <c r="H221" t="str">
        <f t="shared" si="7"/>
        <v/>
      </c>
    </row>
    <row r="222" spans="4:9" x14ac:dyDescent="0.35">
      <c r="D222" t="str">
        <f t="shared" si="8"/>
        <v xml:space="preserve"> - </v>
      </c>
      <c r="H222" t="str">
        <f t="shared" si="7"/>
        <v/>
      </c>
    </row>
    <row r="223" spans="4:9" x14ac:dyDescent="0.35">
      <c r="D223" t="str">
        <f t="shared" si="8"/>
        <v xml:space="preserve"> - </v>
      </c>
      <c r="H223" t="str">
        <f t="shared" si="7"/>
        <v/>
      </c>
    </row>
    <row r="224" spans="4:9" x14ac:dyDescent="0.35">
      <c r="D224" t="str">
        <f t="shared" si="8"/>
        <v xml:space="preserve"> - </v>
      </c>
      <c r="H224" t="str">
        <f t="shared" si="7"/>
        <v/>
      </c>
    </row>
    <row r="225" spans="4:9" x14ac:dyDescent="0.35">
      <c r="D225" t="str">
        <f t="shared" si="8"/>
        <v xml:space="preserve"> - </v>
      </c>
      <c r="H225" t="str">
        <f t="shared" si="7"/>
        <v/>
      </c>
    </row>
    <row r="226" spans="4:9" x14ac:dyDescent="0.35">
      <c r="D226" t="str">
        <f t="shared" si="8"/>
        <v xml:space="preserve"> - </v>
      </c>
      <c r="H226" t="str">
        <f t="shared" si="7"/>
        <v/>
      </c>
    </row>
    <row r="227" spans="4:9" x14ac:dyDescent="0.35">
      <c r="D227" t="str">
        <f t="shared" si="8"/>
        <v xml:space="preserve"> - </v>
      </c>
      <c r="H227" t="str">
        <f t="shared" si="7"/>
        <v/>
      </c>
    </row>
    <row r="228" spans="4:9" x14ac:dyDescent="0.35">
      <c r="D228" t="str">
        <f t="shared" si="8"/>
        <v xml:space="preserve"> - </v>
      </c>
      <c r="H228" t="str">
        <f t="shared" si="7"/>
        <v/>
      </c>
    </row>
    <row r="229" spans="4:9" x14ac:dyDescent="0.35">
      <c r="D229" t="str">
        <f t="shared" si="8"/>
        <v xml:space="preserve"> - </v>
      </c>
      <c r="H229" t="str">
        <f t="shared" si="7"/>
        <v/>
      </c>
    </row>
    <row r="230" spans="4:9" x14ac:dyDescent="0.35">
      <c r="D230" t="str">
        <f t="shared" si="8"/>
        <v xml:space="preserve"> - </v>
      </c>
      <c r="H230" t="str">
        <f t="shared" si="7"/>
        <v/>
      </c>
    </row>
    <row r="231" spans="4:9" x14ac:dyDescent="0.35">
      <c r="D231" t="str">
        <f t="shared" si="8"/>
        <v xml:space="preserve"> - </v>
      </c>
      <c r="H231" t="str">
        <f t="shared" si="7"/>
        <v/>
      </c>
    </row>
    <row r="232" spans="4:9" x14ac:dyDescent="0.35">
      <c r="D232" t="str">
        <f t="shared" si="8"/>
        <v xml:space="preserve"> - </v>
      </c>
      <c r="H232" t="str">
        <f t="shared" si="7"/>
        <v/>
      </c>
    </row>
    <row r="233" spans="4:9" x14ac:dyDescent="0.35">
      <c r="D233" t="str">
        <f t="shared" si="8"/>
        <v xml:space="preserve"> - </v>
      </c>
      <c r="H233" t="str">
        <f t="shared" si="7"/>
        <v/>
      </c>
    </row>
    <row r="234" spans="4:9" x14ac:dyDescent="0.35">
      <c r="D234" t="str">
        <f t="shared" si="8"/>
        <v xml:space="preserve"> - </v>
      </c>
      <c r="H234" t="str">
        <f t="shared" si="7"/>
        <v/>
      </c>
    </row>
    <row r="235" spans="4:9" x14ac:dyDescent="0.35">
      <c r="D235" t="str">
        <f t="shared" si="8"/>
        <v xml:space="preserve"> - </v>
      </c>
      <c r="H235" t="str">
        <f t="shared" si="7"/>
        <v/>
      </c>
    </row>
    <row r="236" spans="4:9" x14ac:dyDescent="0.35">
      <c r="D236" t="str">
        <f t="shared" si="8"/>
        <v xml:space="preserve"> - </v>
      </c>
      <c r="H236" t="str">
        <f t="shared" si="7"/>
        <v/>
      </c>
    </row>
    <row r="237" spans="4:9" x14ac:dyDescent="0.35">
      <c r="D237" t="str">
        <f t="shared" si="8"/>
        <v xml:space="preserve"> - </v>
      </c>
      <c r="H237" t="str">
        <f t="shared" si="7"/>
        <v/>
      </c>
      <c r="I237" s="7"/>
    </row>
    <row r="238" spans="4:9" x14ac:dyDescent="0.35">
      <c r="D238" t="str">
        <f t="shared" si="8"/>
        <v xml:space="preserve"> - </v>
      </c>
      <c r="H238" t="str">
        <f t="shared" si="7"/>
        <v/>
      </c>
    </row>
    <row r="239" spans="4:9" x14ac:dyDescent="0.35">
      <c r="D239" t="str">
        <f t="shared" si="8"/>
        <v xml:space="preserve"> - </v>
      </c>
      <c r="H239" t="str">
        <f t="shared" si="7"/>
        <v/>
      </c>
    </row>
    <row r="240" spans="4:9" x14ac:dyDescent="0.35">
      <c r="D240" t="str">
        <f t="shared" si="8"/>
        <v xml:space="preserve"> - </v>
      </c>
      <c r="H240" t="str">
        <f t="shared" si="7"/>
        <v/>
      </c>
    </row>
    <row r="241" spans="4:9" x14ac:dyDescent="0.35">
      <c r="D241" t="str">
        <f t="shared" si="8"/>
        <v xml:space="preserve"> - </v>
      </c>
      <c r="H241" t="str">
        <f t="shared" si="7"/>
        <v/>
      </c>
    </row>
    <row r="242" spans="4:9" x14ac:dyDescent="0.35">
      <c r="D242" t="str">
        <f t="shared" si="8"/>
        <v xml:space="preserve"> - </v>
      </c>
      <c r="H242" t="str">
        <f t="shared" si="7"/>
        <v/>
      </c>
    </row>
    <row r="243" spans="4:9" x14ac:dyDescent="0.35">
      <c r="D243" t="str">
        <f t="shared" si="8"/>
        <v xml:space="preserve"> - </v>
      </c>
      <c r="H243" t="str">
        <f t="shared" si="7"/>
        <v/>
      </c>
    </row>
    <row r="244" spans="4:9" x14ac:dyDescent="0.35">
      <c r="D244" t="str">
        <f t="shared" si="8"/>
        <v xml:space="preserve"> - </v>
      </c>
      <c r="H244" t="str">
        <f t="shared" si="7"/>
        <v/>
      </c>
    </row>
    <row r="245" spans="4:9" x14ac:dyDescent="0.35">
      <c r="D245" t="str">
        <f t="shared" si="8"/>
        <v xml:space="preserve"> - </v>
      </c>
      <c r="H245" t="str">
        <f t="shared" si="7"/>
        <v/>
      </c>
    </row>
    <row r="246" spans="4:9" x14ac:dyDescent="0.35">
      <c r="D246" t="str">
        <f t="shared" si="8"/>
        <v xml:space="preserve"> - </v>
      </c>
      <c r="H246" t="str">
        <f t="shared" si="7"/>
        <v/>
      </c>
    </row>
    <row r="247" spans="4:9" x14ac:dyDescent="0.35">
      <c r="D247" t="str">
        <f t="shared" si="8"/>
        <v xml:space="preserve"> - </v>
      </c>
      <c r="H247" t="str">
        <f t="shared" si="7"/>
        <v/>
      </c>
    </row>
    <row r="248" spans="4:9" x14ac:dyDescent="0.35">
      <c r="D248" t="str">
        <f t="shared" si="8"/>
        <v xml:space="preserve"> - </v>
      </c>
      <c r="H248" t="str">
        <f t="shared" si="7"/>
        <v/>
      </c>
    </row>
    <row r="249" spans="4:9" x14ac:dyDescent="0.35">
      <c r="D249" t="str">
        <f t="shared" si="8"/>
        <v xml:space="preserve"> - </v>
      </c>
      <c r="H249" t="str">
        <f t="shared" si="7"/>
        <v/>
      </c>
    </row>
    <row r="250" spans="4:9" x14ac:dyDescent="0.35">
      <c r="D250" t="str">
        <f t="shared" si="8"/>
        <v xml:space="preserve"> - </v>
      </c>
      <c r="H250" t="str">
        <f t="shared" si="7"/>
        <v/>
      </c>
    </row>
    <row r="251" spans="4:9" x14ac:dyDescent="0.35">
      <c r="D251" t="str">
        <f t="shared" si="8"/>
        <v xml:space="preserve"> - </v>
      </c>
      <c r="H251" t="str">
        <f t="shared" si="7"/>
        <v/>
      </c>
    </row>
    <row r="252" spans="4:9" x14ac:dyDescent="0.35">
      <c r="D252" t="str">
        <f t="shared" si="8"/>
        <v xml:space="preserve"> - </v>
      </c>
      <c r="H252" t="str">
        <f t="shared" si="7"/>
        <v/>
      </c>
    </row>
    <row r="253" spans="4:9" x14ac:dyDescent="0.35">
      <c r="D253" t="str">
        <f t="shared" si="8"/>
        <v xml:space="preserve"> - </v>
      </c>
      <c r="H253" t="str">
        <f t="shared" si="7"/>
        <v/>
      </c>
    </row>
    <row r="254" spans="4:9" x14ac:dyDescent="0.35">
      <c r="D254" t="str">
        <f t="shared" si="8"/>
        <v xml:space="preserve"> - </v>
      </c>
      <c r="H254" t="str">
        <f t="shared" si="7"/>
        <v/>
      </c>
    </row>
    <row r="255" spans="4:9" x14ac:dyDescent="0.35">
      <c r="D255" t="str">
        <f t="shared" si="8"/>
        <v xml:space="preserve"> - </v>
      </c>
      <c r="H255" t="str">
        <f t="shared" si="7"/>
        <v/>
      </c>
      <c r="I255" s="7"/>
    </row>
    <row r="256" spans="4:9" x14ac:dyDescent="0.35">
      <c r="D256" t="str">
        <f t="shared" si="8"/>
        <v xml:space="preserve"> - </v>
      </c>
      <c r="H256" t="str">
        <f t="shared" si="7"/>
        <v/>
      </c>
    </row>
    <row r="257" spans="4:8" x14ac:dyDescent="0.35">
      <c r="D257" t="str">
        <f t="shared" si="8"/>
        <v xml:space="preserve"> - </v>
      </c>
      <c r="H257" t="str">
        <f t="shared" si="7"/>
        <v/>
      </c>
    </row>
    <row r="258" spans="4:8" x14ac:dyDescent="0.35">
      <c r="D258" t="str">
        <f t="shared" si="8"/>
        <v xml:space="preserve"> - </v>
      </c>
      <c r="H258" t="str">
        <f t="shared" si="7"/>
        <v/>
      </c>
    </row>
    <row r="259" spans="4:8" x14ac:dyDescent="0.35">
      <c r="D259" t="str">
        <f t="shared" si="8"/>
        <v xml:space="preserve"> - </v>
      </c>
      <c r="H259" t="str">
        <f t="shared" si="7"/>
        <v/>
      </c>
    </row>
    <row r="260" spans="4:8" x14ac:dyDescent="0.35">
      <c r="D260" t="str">
        <f t="shared" si="8"/>
        <v xml:space="preserve"> - </v>
      </c>
      <c r="H260" t="str">
        <f t="shared" ref="H260:H323" si="9">IF(E260="x","Economic - "&amp;G260,IF(F260="x","Environmental - "&amp;G260,""))</f>
        <v/>
      </c>
    </row>
    <row r="261" spans="4:8" x14ac:dyDescent="0.35">
      <c r="D261" t="str">
        <f t="shared" si="8"/>
        <v xml:space="preserve"> - </v>
      </c>
      <c r="H261" t="str">
        <f t="shared" si="9"/>
        <v/>
      </c>
    </row>
    <row r="262" spans="4:8" x14ac:dyDescent="0.35">
      <c r="D262" t="str">
        <f t="shared" si="8"/>
        <v xml:space="preserve"> - </v>
      </c>
      <c r="H262" t="str">
        <f t="shared" si="9"/>
        <v/>
      </c>
    </row>
    <row r="263" spans="4:8" x14ac:dyDescent="0.35">
      <c r="D263" t="str">
        <f t="shared" si="8"/>
        <v xml:space="preserve"> - </v>
      </c>
      <c r="H263" t="str">
        <f t="shared" si="9"/>
        <v/>
      </c>
    </row>
    <row r="264" spans="4:8" x14ac:dyDescent="0.35">
      <c r="D264" t="str">
        <f t="shared" si="8"/>
        <v xml:space="preserve"> - </v>
      </c>
      <c r="H264" t="str">
        <f t="shared" si="9"/>
        <v/>
      </c>
    </row>
    <row r="265" spans="4:8" x14ac:dyDescent="0.35">
      <c r="D265" t="str">
        <f t="shared" si="8"/>
        <v xml:space="preserve"> - </v>
      </c>
      <c r="H265" t="str">
        <f t="shared" si="9"/>
        <v/>
      </c>
    </row>
    <row r="266" spans="4:8" x14ac:dyDescent="0.35">
      <c r="D266" t="str">
        <f t="shared" si="8"/>
        <v xml:space="preserve"> - </v>
      </c>
      <c r="H266" t="str">
        <f t="shared" si="9"/>
        <v/>
      </c>
    </row>
    <row r="267" spans="4:8" x14ac:dyDescent="0.35">
      <c r="D267" t="str">
        <f t="shared" si="8"/>
        <v xml:space="preserve"> - </v>
      </c>
      <c r="H267" t="str">
        <f t="shared" si="9"/>
        <v/>
      </c>
    </row>
    <row r="268" spans="4:8" x14ac:dyDescent="0.35">
      <c r="D268" t="str">
        <f t="shared" si="8"/>
        <v xml:space="preserve"> - </v>
      </c>
      <c r="H268" t="str">
        <f t="shared" si="9"/>
        <v/>
      </c>
    </row>
    <row r="269" spans="4:8" x14ac:dyDescent="0.35">
      <c r="D269" t="str">
        <f t="shared" si="8"/>
        <v xml:space="preserve"> - </v>
      </c>
      <c r="H269" t="str">
        <f t="shared" si="9"/>
        <v/>
      </c>
    </row>
    <row r="270" spans="4:8" x14ac:dyDescent="0.35">
      <c r="D270" t="str">
        <f t="shared" si="8"/>
        <v xml:space="preserve"> - </v>
      </c>
      <c r="H270" t="str">
        <f t="shared" si="9"/>
        <v/>
      </c>
    </row>
    <row r="271" spans="4:8" x14ac:dyDescent="0.35">
      <c r="D271" t="str">
        <f t="shared" si="8"/>
        <v xml:space="preserve"> - </v>
      </c>
      <c r="H271" t="str">
        <f t="shared" si="9"/>
        <v/>
      </c>
    </row>
    <row r="272" spans="4:8" x14ac:dyDescent="0.35">
      <c r="D272" t="str">
        <f t="shared" si="8"/>
        <v xml:space="preserve"> - </v>
      </c>
      <c r="H272" t="str">
        <f t="shared" si="9"/>
        <v/>
      </c>
    </row>
    <row r="273" spans="4:9" x14ac:dyDescent="0.35">
      <c r="D273" t="str">
        <f t="shared" si="8"/>
        <v xml:space="preserve"> - </v>
      </c>
      <c r="H273" t="str">
        <f t="shared" si="9"/>
        <v/>
      </c>
      <c r="I273" s="7"/>
    </row>
    <row r="274" spans="4:9" x14ac:dyDescent="0.35">
      <c r="D274" t="str">
        <f t="shared" si="8"/>
        <v xml:space="preserve"> - </v>
      </c>
      <c r="H274" t="str">
        <f t="shared" si="9"/>
        <v/>
      </c>
    </row>
    <row r="275" spans="4:9" x14ac:dyDescent="0.35">
      <c r="D275" t="str">
        <f t="shared" si="8"/>
        <v xml:space="preserve"> - </v>
      </c>
      <c r="H275" t="str">
        <f t="shared" si="9"/>
        <v/>
      </c>
    </row>
    <row r="276" spans="4:9" x14ac:dyDescent="0.35">
      <c r="D276" t="str">
        <f t="shared" si="8"/>
        <v xml:space="preserve"> - </v>
      </c>
      <c r="H276" t="str">
        <f t="shared" si="9"/>
        <v/>
      </c>
    </row>
    <row r="277" spans="4:9" x14ac:dyDescent="0.35">
      <c r="D277" t="str">
        <f t="shared" si="8"/>
        <v xml:space="preserve"> - </v>
      </c>
      <c r="H277" t="str">
        <f t="shared" si="9"/>
        <v/>
      </c>
    </row>
    <row r="278" spans="4:9" x14ac:dyDescent="0.35">
      <c r="D278" t="str">
        <f t="shared" ref="D278:D341" si="10">B278&amp;" - "&amp;C278</f>
        <v xml:space="preserve"> - </v>
      </c>
      <c r="H278" t="str">
        <f t="shared" si="9"/>
        <v/>
      </c>
    </row>
    <row r="279" spans="4:9" x14ac:dyDescent="0.35">
      <c r="D279" t="str">
        <f t="shared" si="10"/>
        <v xml:space="preserve"> - </v>
      </c>
      <c r="H279" t="str">
        <f t="shared" si="9"/>
        <v/>
      </c>
    </row>
    <row r="280" spans="4:9" x14ac:dyDescent="0.35">
      <c r="D280" t="str">
        <f t="shared" si="10"/>
        <v xml:space="preserve"> - </v>
      </c>
      <c r="H280" t="str">
        <f t="shared" si="9"/>
        <v/>
      </c>
    </row>
    <row r="281" spans="4:9" x14ac:dyDescent="0.35">
      <c r="D281" t="str">
        <f t="shared" si="10"/>
        <v xml:space="preserve"> - </v>
      </c>
      <c r="H281" t="str">
        <f t="shared" si="9"/>
        <v/>
      </c>
    </row>
    <row r="282" spans="4:9" x14ac:dyDescent="0.35">
      <c r="D282" t="str">
        <f t="shared" si="10"/>
        <v xml:space="preserve"> - </v>
      </c>
      <c r="H282" t="str">
        <f t="shared" si="9"/>
        <v/>
      </c>
    </row>
    <row r="283" spans="4:9" x14ac:dyDescent="0.35">
      <c r="D283" t="str">
        <f t="shared" si="10"/>
        <v xml:space="preserve"> - </v>
      </c>
      <c r="H283" t="str">
        <f t="shared" si="9"/>
        <v/>
      </c>
    </row>
    <row r="284" spans="4:9" x14ac:dyDescent="0.35">
      <c r="D284" t="str">
        <f t="shared" si="10"/>
        <v xml:space="preserve"> - </v>
      </c>
      <c r="H284" t="str">
        <f t="shared" si="9"/>
        <v/>
      </c>
    </row>
    <row r="285" spans="4:9" x14ac:dyDescent="0.35">
      <c r="D285" t="str">
        <f t="shared" si="10"/>
        <v xml:space="preserve"> - </v>
      </c>
      <c r="H285" t="str">
        <f t="shared" si="9"/>
        <v/>
      </c>
    </row>
    <row r="286" spans="4:9" x14ac:dyDescent="0.35">
      <c r="D286" t="str">
        <f t="shared" si="10"/>
        <v xml:space="preserve"> - </v>
      </c>
      <c r="H286" t="str">
        <f t="shared" si="9"/>
        <v/>
      </c>
    </row>
    <row r="287" spans="4:9" x14ac:dyDescent="0.35">
      <c r="D287" t="str">
        <f t="shared" si="10"/>
        <v xml:space="preserve"> - </v>
      </c>
      <c r="H287" t="str">
        <f t="shared" si="9"/>
        <v/>
      </c>
    </row>
    <row r="288" spans="4:9" x14ac:dyDescent="0.35">
      <c r="D288" t="str">
        <f t="shared" si="10"/>
        <v xml:space="preserve"> - </v>
      </c>
      <c r="H288" t="str">
        <f t="shared" si="9"/>
        <v/>
      </c>
    </row>
    <row r="289" spans="4:9" x14ac:dyDescent="0.35">
      <c r="D289" t="str">
        <f t="shared" si="10"/>
        <v xml:space="preserve"> - </v>
      </c>
      <c r="H289" t="str">
        <f t="shared" si="9"/>
        <v/>
      </c>
    </row>
    <row r="290" spans="4:9" x14ac:dyDescent="0.35">
      <c r="D290" t="str">
        <f t="shared" si="10"/>
        <v xml:space="preserve"> - </v>
      </c>
      <c r="H290" t="str">
        <f t="shared" si="9"/>
        <v/>
      </c>
    </row>
    <row r="291" spans="4:9" x14ac:dyDescent="0.35">
      <c r="D291" t="str">
        <f t="shared" si="10"/>
        <v xml:space="preserve"> - </v>
      </c>
      <c r="H291" t="str">
        <f t="shared" si="9"/>
        <v/>
      </c>
      <c r="I291" s="7"/>
    </row>
    <row r="292" spans="4:9" x14ac:dyDescent="0.35">
      <c r="D292" t="str">
        <f t="shared" si="10"/>
        <v xml:space="preserve"> - </v>
      </c>
      <c r="H292" t="str">
        <f t="shared" si="9"/>
        <v/>
      </c>
    </row>
    <row r="293" spans="4:9" x14ac:dyDescent="0.35">
      <c r="D293" t="str">
        <f t="shared" si="10"/>
        <v xml:space="preserve"> - </v>
      </c>
      <c r="H293" t="str">
        <f t="shared" si="9"/>
        <v/>
      </c>
    </row>
    <row r="294" spans="4:9" x14ac:dyDescent="0.35">
      <c r="D294" t="str">
        <f t="shared" si="10"/>
        <v xml:space="preserve"> - </v>
      </c>
      <c r="H294" t="str">
        <f t="shared" si="9"/>
        <v/>
      </c>
    </row>
    <row r="295" spans="4:9" x14ac:dyDescent="0.35">
      <c r="D295" t="str">
        <f t="shared" si="10"/>
        <v xml:space="preserve"> - </v>
      </c>
      <c r="H295" t="str">
        <f t="shared" si="9"/>
        <v/>
      </c>
    </row>
    <row r="296" spans="4:9" x14ac:dyDescent="0.35">
      <c r="D296" t="str">
        <f t="shared" si="10"/>
        <v xml:space="preserve"> - </v>
      </c>
      <c r="H296" t="str">
        <f t="shared" si="9"/>
        <v/>
      </c>
    </row>
    <row r="297" spans="4:9" x14ac:dyDescent="0.35">
      <c r="D297" t="str">
        <f t="shared" si="10"/>
        <v xml:space="preserve"> - </v>
      </c>
      <c r="H297" t="str">
        <f t="shared" si="9"/>
        <v/>
      </c>
    </row>
    <row r="298" spans="4:9" x14ac:dyDescent="0.35">
      <c r="D298" t="str">
        <f t="shared" si="10"/>
        <v xml:space="preserve"> - </v>
      </c>
      <c r="H298" t="str">
        <f t="shared" si="9"/>
        <v/>
      </c>
    </row>
    <row r="299" spans="4:9" x14ac:dyDescent="0.35">
      <c r="D299" t="str">
        <f t="shared" si="10"/>
        <v xml:space="preserve"> - </v>
      </c>
      <c r="H299" t="str">
        <f t="shared" si="9"/>
        <v/>
      </c>
    </row>
    <row r="300" spans="4:9" x14ac:dyDescent="0.35">
      <c r="D300" t="str">
        <f t="shared" si="10"/>
        <v xml:space="preserve"> - </v>
      </c>
      <c r="H300" t="str">
        <f t="shared" si="9"/>
        <v/>
      </c>
    </row>
    <row r="301" spans="4:9" x14ac:dyDescent="0.35">
      <c r="D301" t="str">
        <f t="shared" si="10"/>
        <v xml:space="preserve"> - </v>
      </c>
      <c r="H301" t="str">
        <f t="shared" si="9"/>
        <v/>
      </c>
    </row>
    <row r="302" spans="4:9" x14ac:dyDescent="0.35">
      <c r="D302" t="str">
        <f t="shared" si="10"/>
        <v xml:space="preserve"> - </v>
      </c>
      <c r="H302" t="str">
        <f t="shared" si="9"/>
        <v/>
      </c>
    </row>
    <row r="303" spans="4:9" x14ac:dyDescent="0.35">
      <c r="D303" t="str">
        <f t="shared" si="10"/>
        <v xml:space="preserve"> - </v>
      </c>
      <c r="H303" t="str">
        <f t="shared" si="9"/>
        <v/>
      </c>
    </row>
    <row r="304" spans="4:9" x14ac:dyDescent="0.35">
      <c r="D304" t="str">
        <f t="shared" si="10"/>
        <v xml:space="preserve"> - </v>
      </c>
      <c r="H304" t="str">
        <f t="shared" si="9"/>
        <v/>
      </c>
    </row>
    <row r="305" spans="4:9" x14ac:dyDescent="0.35">
      <c r="D305" t="str">
        <f t="shared" si="10"/>
        <v xml:space="preserve"> - </v>
      </c>
      <c r="H305" t="str">
        <f t="shared" si="9"/>
        <v/>
      </c>
    </row>
    <row r="306" spans="4:9" x14ac:dyDescent="0.35">
      <c r="D306" t="str">
        <f t="shared" si="10"/>
        <v xml:space="preserve"> - </v>
      </c>
      <c r="H306" t="str">
        <f t="shared" si="9"/>
        <v/>
      </c>
    </row>
    <row r="307" spans="4:9" x14ac:dyDescent="0.35">
      <c r="D307" t="str">
        <f t="shared" si="10"/>
        <v xml:space="preserve"> - </v>
      </c>
      <c r="H307" t="str">
        <f t="shared" si="9"/>
        <v/>
      </c>
    </row>
    <row r="308" spans="4:9" x14ac:dyDescent="0.35">
      <c r="D308" t="str">
        <f t="shared" si="10"/>
        <v xml:space="preserve"> - </v>
      </c>
      <c r="H308" t="str">
        <f t="shared" si="9"/>
        <v/>
      </c>
    </row>
    <row r="309" spans="4:9" x14ac:dyDescent="0.35">
      <c r="D309" t="str">
        <f t="shared" si="10"/>
        <v xml:space="preserve"> - </v>
      </c>
      <c r="H309" t="str">
        <f t="shared" si="9"/>
        <v/>
      </c>
      <c r="I309" s="7"/>
    </row>
    <row r="310" spans="4:9" x14ac:dyDescent="0.35">
      <c r="D310" t="str">
        <f t="shared" si="10"/>
        <v xml:space="preserve"> - </v>
      </c>
      <c r="H310" t="str">
        <f t="shared" si="9"/>
        <v/>
      </c>
    </row>
    <row r="311" spans="4:9" x14ac:dyDescent="0.35">
      <c r="D311" t="str">
        <f t="shared" si="10"/>
        <v xml:space="preserve"> - </v>
      </c>
      <c r="H311" t="str">
        <f t="shared" si="9"/>
        <v/>
      </c>
    </row>
    <row r="312" spans="4:9" x14ac:dyDescent="0.35">
      <c r="D312" t="str">
        <f t="shared" si="10"/>
        <v xml:space="preserve"> - </v>
      </c>
      <c r="H312" t="str">
        <f t="shared" si="9"/>
        <v/>
      </c>
    </row>
    <row r="313" spans="4:9" x14ac:dyDescent="0.35">
      <c r="D313" t="str">
        <f t="shared" si="10"/>
        <v xml:space="preserve"> - </v>
      </c>
      <c r="H313" t="str">
        <f t="shared" si="9"/>
        <v/>
      </c>
    </row>
    <row r="314" spans="4:9" x14ac:dyDescent="0.35">
      <c r="D314" t="str">
        <f t="shared" si="10"/>
        <v xml:space="preserve"> - </v>
      </c>
      <c r="H314" t="str">
        <f t="shared" si="9"/>
        <v/>
      </c>
    </row>
    <row r="315" spans="4:9" x14ac:dyDescent="0.35">
      <c r="D315" t="str">
        <f t="shared" si="10"/>
        <v xml:space="preserve"> - </v>
      </c>
      <c r="H315" t="str">
        <f t="shared" si="9"/>
        <v/>
      </c>
    </row>
    <row r="316" spans="4:9" x14ac:dyDescent="0.35">
      <c r="D316" t="str">
        <f t="shared" si="10"/>
        <v xml:space="preserve"> - </v>
      </c>
      <c r="H316" t="str">
        <f t="shared" si="9"/>
        <v/>
      </c>
    </row>
    <row r="317" spans="4:9" x14ac:dyDescent="0.35">
      <c r="D317" t="str">
        <f t="shared" si="10"/>
        <v xml:space="preserve"> - </v>
      </c>
      <c r="H317" t="str">
        <f t="shared" si="9"/>
        <v/>
      </c>
    </row>
    <row r="318" spans="4:9" x14ac:dyDescent="0.35">
      <c r="D318" t="str">
        <f t="shared" si="10"/>
        <v xml:space="preserve"> - </v>
      </c>
      <c r="H318" t="str">
        <f t="shared" si="9"/>
        <v/>
      </c>
    </row>
    <row r="319" spans="4:9" x14ac:dyDescent="0.35">
      <c r="D319" t="str">
        <f t="shared" si="10"/>
        <v xml:space="preserve"> - </v>
      </c>
      <c r="H319" t="str">
        <f t="shared" si="9"/>
        <v/>
      </c>
    </row>
    <row r="320" spans="4:9" x14ac:dyDescent="0.35">
      <c r="D320" t="str">
        <f t="shared" si="10"/>
        <v xml:space="preserve"> - </v>
      </c>
      <c r="H320" t="str">
        <f t="shared" si="9"/>
        <v/>
      </c>
    </row>
    <row r="321" spans="4:9" x14ac:dyDescent="0.35">
      <c r="D321" t="str">
        <f t="shared" si="10"/>
        <v xml:space="preserve"> - </v>
      </c>
      <c r="H321" t="str">
        <f t="shared" si="9"/>
        <v/>
      </c>
    </row>
    <row r="322" spans="4:9" x14ac:dyDescent="0.35">
      <c r="D322" t="str">
        <f t="shared" si="10"/>
        <v xml:space="preserve"> - </v>
      </c>
      <c r="H322" t="str">
        <f t="shared" si="9"/>
        <v/>
      </c>
    </row>
    <row r="323" spans="4:9" x14ac:dyDescent="0.35">
      <c r="D323" t="str">
        <f t="shared" si="10"/>
        <v xml:space="preserve"> - </v>
      </c>
      <c r="H323" t="str">
        <f t="shared" si="9"/>
        <v/>
      </c>
    </row>
    <row r="324" spans="4:9" x14ac:dyDescent="0.35">
      <c r="D324" t="str">
        <f t="shared" si="10"/>
        <v xml:space="preserve"> - </v>
      </c>
      <c r="H324" t="str">
        <f t="shared" ref="H324:H387" si="11">IF(E324="x","Economic - "&amp;G324,IF(F324="x","Environmental - "&amp;G324,""))</f>
        <v/>
      </c>
    </row>
    <row r="325" spans="4:9" x14ac:dyDescent="0.35">
      <c r="D325" t="str">
        <f t="shared" si="10"/>
        <v xml:space="preserve"> - </v>
      </c>
      <c r="H325" t="str">
        <f t="shared" si="11"/>
        <v/>
      </c>
    </row>
    <row r="326" spans="4:9" x14ac:dyDescent="0.35">
      <c r="D326" t="str">
        <f t="shared" si="10"/>
        <v xml:space="preserve"> - </v>
      </c>
      <c r="H326" t="str">
        <f t="shared" si="11"/>
        <v/>
      </c>
    </row>
    <row r="327" spans="4:9" x14ac:dyDescent="0.35">
      <c r="D327" t="str">
        <f t="shared" si="10"/>
        <v xml:space="preserve"> - </v>
      </c>
      <c r="H327" t="str">
        <f t="shared" si="11"/>
        <v/>
      </c>
      <c r="I327" s="7"/>
    </row>
    <row r="328" spans="4:9" x14ac:dyDescent="0.35">
      <c r="D328" t="str">
        <f t="shared" si="10"/>
        <v xml:space="preserve"> - </v>
      </c>
      <c r="H328" t="str">
        <f t="shared" si="11"/>
        <v/>
      </c>
    </row>
    <row r="329" spans="4:9" x14ac:dyDescent="0.35">
      <c r="D329" t="str">
        <f t="shared" si="10"/>
        <v xml:space="preserve"> - </v>
      </c>
      <c r="H329" t="str">
        <f t="shared" si="11"/>
        <v/>
      </c>
    </row>
    <row r="330" spans="4:9" x14ac:dyDescent="0.35">
      <c r="D330" t="str">
        <f t="shared" si="10"/>
        <v xml:space="preserve"> - </v>
      </c>
      <c r="H330" t="str">
        <f t="shared" si="11"/>
        <v/>
      </c>
    </row>
    <row r="331" spans="4:9" x14ac:dyDescent="0.35">
      <c r="D331" t="str">
        <f t="shared" si="10"/>
        <v xml:space="preserve"> - </v>
      </c>
      <c r="H331" t="str">
        <f t="shared" si="11"/>
        <v/>
      </c>
    </row>
    <row r="332" spans="4:9" x14ac:dyDescent="0.35">
      <c r="D332" t="str">
        <f t="shared" si="10"/>
        <v xml:space="preserve"> - </v>
      </c>
      <c r="H332" t="str">
        <f t="shared" si="11"/>
        <v/>
      </c>
    </row>
    <row r="333" spans="4:9" x14ac:dyDescent="0.35">
      <c r="D333" t="str">
        <f t="shared" si="10"/>
        <v xml:space="preserve"> - </v>
      </c>
      <c r="H333" t="str">
        <f t="shared" si="11"/>
        <v/>
      </c>
    </row>
    <row r="334" spans="4:9" x14ac:dyDescent="0.35">
      <c r="D334" t="str">
        <f t="shared" si="10"/>
        <v xml:space="preserve"> - </v>
      </c>
      <c r="H334" t="str">
        <f t="shared" si="11"/>
        <v/>
      </c>
    </row>
    <row r="335" spans="4:9" x14ac:dyDescent="0.35">
      <c r="D335" t="str">
        <f t="shared" si="10"/>
        <v xml:space="preserve"> - </v>
      </c>
      <c r="H335" t="str">
        <f t="shared" si="11"/>
        <v/>
      </c>
    </row>
    <row r="336" spans="4:9" x14ac:dyDescent="0.35">
      <c r="D336" t="str">
        <f t="shared" si="10"/>
        <v xml:space="preserve"> - </v>
      </c>
      <c r="H336" t="str">
        <f t="shared" si="11"/>
        <v/>
      </c>
    </row>
    <row r="337" spans="4:9" x14ac:dyDescent="0.35">
      <c r="D337" t="str">
        <f t="shared" si="10"/>
        <v xml:space="preserve"> - </v>
      </c>
      <c r="H337" t="str">
        <f t="shared" si="11"/>
        <v/>
      </c>
    </row>
    <row r="338" spans="4:9" x14ac:dyDescent="0.35">
      <c r="D338" t="str">
        <f t="shared" si="10"/>
        <v xml:space="preserve"> - </v>
      </c>
      <c r="H338" t="str">
        <f t="shared" si="11"/>
        <v/>
      </c>
    </row>
    <row r="339" spans="4:9" x14ac:dyDescent="0.35">
      <c r="D339" t="str">
        <f t="shared" si="10"/>
        <v xml:space="preserve"> - </v>
      </c>
      <c r="H339" t="str">
        <f t="shared" si="11"/>
        <v/>
      </c>
    </row>
    <row r="340" spans="4:9" x14ac:dyDescent="0.35">
      <c r="D340" t="str">
        <f t="shared" si="10"/>
        <v xml:space="preserve"> - </v>
      </c>
      <c r="H340" t="str">
        <f t="shared" si="11"/>
        <v/>
      </c>
    </row>
    <row r="341" spans="4:9" x14ac:dyDescent="0.35">
      <c r="D341" t="str">
        <f t="shared" si="10"/>
        <v xml:space="preserve"> - </v>
      </c>
      <c r="H341" t="str">
        <f t="shared" si="11"/>
        <v/>
      </c>
    </row>
    <row r="342" spans="4:9" x14ac:dyDescent="0.35">
      <c r="D342" t="str">
        <f t="shared" ref="D342:D405" si="12">B342&amp;" - "&amp;C342</f>
        <v xml:space="preserve"> - </v>
      </c>
      <c r="H342" t="str">
        <f t="shared" si="11"/>
        <v/>
      </c>
    </row>
    <row r="343" spans="4:9" x14ac:dyDescent="0.35">
      <c r="D343" t="str">
        <f t="shared" si="12"/>
        <v xml:space="preserve"> - </v>
      </c>
      <c r="H343" t="str">
        <f t="shared" si="11"/>
        <v/>
      </c>
    </row>
    <row r="344" spans="4:9" x14ac:dyDescent="0.35">
      <c r="D344" t="str">
        <f t="shared" si="12"/>
        <v xml:space="preserve"> - </v>
      </c>
      <c r="H344" t="str">
        <f t="shared" si="11"/>
        <v/>
      </c>
    </row>
    <row r="345" spans="4:9" x14ac:dyDescent="0.35">
      <c r="D345" t="str">
        <f t="shared" si="12"/>
        <v xml:space="preserve"> - </v>
      </c>
      <c r="H345" t="str">
        <f t="shared" si="11"/>
        <v/>
      </c>
      <c r="I345" s="7"/>
    </row>
    <row r="346" spans="4:9" x14ac:dyDescent="0.35">
      <c r="D346" t="str">
        <f t="shared" si="12"/>
        <v xml:space="preserve"> - </v>
      </c>
      <c r="H346" t="str">
        <f t="shared" si="11"/>
        <v/>
      </c>
    </row>
    <row r="347" spans="4:9" x14ac:dyDescent="0.35">
      <c r="D347" t="str">
        <f t="shared" si="12"/>
        <v xml:space="preserve"> - </v>
      </c>
      <c r="H347" t="str">
        <f t="shared" si="11"/>
        <v/>
      </c>
    </row>
    <row r="348" spans="4:9" x14ac:dyDescent="0.35">
      <c r="D348" t="str">
        <f t="shared" si="12"/>
        <v xml:space="preserve"> - </v>
      </c>
      <c r="H348" t="str">
        <f t="shared" si="11"/>
        <v/>
      </c>
    </row>
    <row r="349" spans="4:9" x14ac:dyDescent="0.35">
      <c r="D349" t="str">
        <f t="shared" si="12"/>
        <v xml:space="preserve"> - </v>
      </c>
      <c r="H349" t="str">
        <f t="shared" si="11"/>
        <v/>
      </c>
    </row>
    <row r="350" spans="4:9" x14ac:dyDescent="0.35">
      <c r="D350" t="str">
        <f t="shared" si="12"/>
        <v xml:space="preserve"> - </v>
      </c>
      <c r="H350" t="str">
        <f t="shared" si="11"/>
        <v/>
      </c>
    </row>
    <row r="351" spans="4:9" x14ac:dyDescent="0.35">
      <c r="D351" t="str">
        <f t="shared" si="12"/>
        <v xml:space="preserve"> - </v>
      </c>
      <c r="H351" t="str">
        <f t="shared" si="11"/>
        <v/>
      </c>
    </row>
    <row r="352" spans="4:9" x14ac:dyDescent="0.35">
      <c r="D352" t="str">
        <f t="shared" si="12"/>
        <v xml:space="preserve"> - </v>
      </c>
      <c r="H352" t="str">
        <f t="shared" si="11"/>
        <v/>
      </c>
    </row>
    <row r="353" spans="4:9" x14ac:dyDescent="0.35">
      <c r="D353" t="str">
        <f t="shared" si="12"/>
        <v xml:space="preserve"> - </v>
      </c>
      <c r="H353" t="str">
        <f t="shared" si="11"/>
        <v/>
      </c>
    </row>
    <row r="354" spans="4:9" x14ac:dyDescent="0.35">
      <c r="D354" t="str">
        <f t="shared" si="12"/>
        <v xml:space="preserve"> - </v>
      </c>
      <c r="H354" t="str">
        <f t="shared" si="11"/>
        <v/>
      </c>
    </row>
    <row r="355" spans="4:9" x14ac:dyDescent="0.35">
      <c r="D355" t="str">
        <f t="shared" si="12"/>
        <v xml:space="preserve"> - </v>
      </c>
      <c r="H355" t="str">
        <f t="shared" si="11"/>
        <v/>
      </c>
    </row>
    <row r="356" spans="4:9" x14ac:dyDescent="0.35">
      <c r="D356" t="str">
        <f t="shared" si="12"/>
        <v xml:space="preserve"> - </v>
      </c>
      <c r="H356" t="str">
        <f t="shared" si="11"/>
        <v/>
      </c>
    </row>
    <row r="357" spans="4:9" x14ac:dyDescent="0.35">
      <c r="D357" t="str">
        <f t="shared" si="12"/>
        <v xml:space="preserve"> - </v>
      </c>
      <c r="H357" t="str">
        <f t="shared" si="11"/>
        <v/>
      </c>
    </row>
    <row r="358" spans="4:9" x14ac:dyDescent="0.35">
      <c r="D358" t="str">
        <f t="shared" si="12"/>
        <v xml:space="preserve"> - </v>
      </c>
      <c r="H358" t="str">
        <f t="shared" si="11"/>
        <v/>
      </c>
    </row>
    <row r="359" spans="4:9" x14ac:dyDescent="0.35">
      <c r="D359" t="str">
        <f t="shared" si="12"/>
        <v xml:space="preserve"> - </v>
      </c>
      <c r="H359" t="str">
        <f t="shared" si="11"/>
        <v/>
      </c>
    </row>
    <row r="360" spans="4:9" x14ac:dyDescent="0.35">
      <c r="D360" t="str">
        <f t="shared" si="12"/>
        <v xml:space="preserve"> - </v>
      </c>
      <c r="H360" t="str">
        <f t="shared" si="11"/>
        <v/>
      </c>
    </row>
    <row r="361" spans="4:9" x14ac:dyDescent="0.35">
      <c r="D361" t="str">
        <f t="shared" si="12"/>
        <v xml:space="preserve"> - </v>
      </c>
      <c r="H361" t="str">
        <f t="shared" si="11"/>
        <v/>
      </c>
    </row>
    <row r="362" spans="4:9" x14ac:dyDescent="0.35">
      <c r="D362" t="str">
        <f t="shared" si="12"/>
        <v xml:space="preserve"> - </v>
      </c>
      <c r="H362" t="str">
        <f t="shared" si="11"/>
        <v/>
      </c>
    </row>
    <row r="363" spans="4:9" x14ac:dyDescent="0.35">
      <c r="D363" t="str">
        <f t="shared" si="12"/>
        <v xml:space="preserve"> - </v>
      </c>
      <c r="H363" t="str">
        <f t="shared" si="11"/>
        <v/>
      </c>
      <c r="I363" s="7"/>
    </row>
    <row r="364" spans="4:9" x14ac:dyDescent="0.35">
      <c r="D364" t="str">
        <f t="shared" si="12"/>
        <v xml:space="preserve"> - </v>
      </c>
      <c r="H364" t="str">
        <f t="shared" si="11"/>
        <v/>
      </c>
    </row>
    <row r="365" spans="4:9" x14ac:dyDescent="0.35">
      <c r="D365" t="str">
        <f t="shared" si="12"/>
        <v xml:space="preserve"> - </v>
      </c>
      <c r="H365" t="str">
        <f t="shared" si="11"/>
        <v/>
      </c>
    </row>
    <row r="366" spans="4:9" x14ac:dyDescent="0.35">
      <c r="D366" t="str">
        <f t="shared" si="12"/>
        <v xml:space="preserve"> - </v>
      </c>
      <c r="H366" t="str">
        <f t="shared" si="11"/>
        <v/>
      </c>
    </row>
    <row r="367" spans="4:9" x14ac:dyDescent="0.35">
      <c r="D367" t="str">
        <f t="shared" si="12"/>
        <v xml:space="preserve"> - </v>
      </c>
      <c r="H367" t="str">
        <f t="shared" si="11"/>
        <v/>
      </c>
    </row>
    <row r="368" spans="4:9" x14ac:dyDescent="0.35">
      <c r="D368" t="str">
        <f t="shared" si="12"/>
        <v xml:space="preserve"> - </v>
      </c>
      <c r="H368" t="str">
        <f t="shared" si="11"/>
        <v/>
      </c>
    </row>
    <row r="369" spans="4:9" x14ac:dyDescent="0.35">
      <c r="D369" t="str">
        <f t="shared" si="12"/>
        <v xml:space="preserve"> - </v>
      </c>
      <c r="H369" t="str">
        <f t="shared" si="11"/>
        <v/>
      </c>
    </row>
    <row r="370" spans="4:9" x14ac:dyDescent="0.35">
      <c r="D370" t="str">
        <f t="shared" si="12"/>
        <v xml:space="preserve"> - </v>
      </c>
      <c r="H370" t="str">
        <f t="shared" si="11"/>
        <v/>
      </c>
    </row>
    <row r="371" spans="4:9" x14ac:dyDescent="0.35">
      <c r="D371" t="str">
        <f t="shared" si="12"/>
        <v xml:space="preserve"> - </v>
      </c>
      <c r="H371" t="str">
        <f t="shared" si="11"/>
        <v/>
      </c>
    </row>
    <row r="372" spans="4:9" x14ac:dyDescent="0.35">
      <c r="D372" t="str">
        <f t="shared" si="12"/>
        <v xml:space="preserve"> - </v>
      </c>
      <c r="H372" t="str">
        <f t="shared" si="11"/>
        <v/>
      </c>
    </row>
    <row r="373" spans="4:9" x14ac:dyDescent="0.35">
      <c r="D373" t="str">
        <f t="shared" si="12"/>
        <v xml:space="preserve"> - </v>
      </c>
      <c r="H373" t="str">
        <f t="shared" si="11"/>
        <v/>
      </c>
    </row>
    <row r="374" spans="4:9" x14ac:dyDescent="0.35">
      <c r="D374" t="str">
        <f t="shared" si="12"/>
        <v xml:space="preserve"> - </v>
      </c>
      <c r="H374" t="str">
        <f t="shared" si="11"/>
        <v/>
      </c>
    </row>
    <row r="375" spans="4:9" x14ac:dyDescent="0.35">
      <c r="D375" t="str">
        <f t="shared" si="12"/>
        <v xml:space="preserve"> - </v>
      </c>
      <c r="H375" t="str">
        <f t="shared" si="11"/>
        <v/>
      </c>
    </row>
    <row r="376" spans="4:9" x14ac:dyDescent="0.35">
      <c r="D376" t="str">
        <f t="shared" si="12"/>
        <v xml:space="preserve"> - </v>
      </c>
      <c r="H376" t="str">
        <f t="shared" si="11"/>
        <v/>
      </c>
    </row>
    <row r="377" spans="4:9" x14ac:dyDescent="0.35">
      <c r="D377" t="str">
        <f t="shared" si="12"/>
        <v xml:space="preserve"> - </v>
      </c>
      <c r="H377" t="str">
        <f t="shared" si="11"/>
        <v/>
      </c>
    </row>
    <row r="378" spans="4:9" x14ac:dyDescent="0.35">
      <c r="D378" t="str">
        <f t="shared" si="12"/>
        <v xml:space="preserve"> - </v>
      </c>
      <c r="H378" t="str">
        <f t="shared" si="11"/>
        <v/>
      </c>
    </row>
    <row r="379" spans="4:9" x14ac:dyDescent="0.35">
      <c r="D379" t="str">
        <f t="shared" si="12"/>
        <v xml:space="preserve"> - </v>
      </c>
      <c r="H379" t="str">
        <f t="shared" si="11"/>
        <v/>
      </c>
    </row>
    <row r="380" spans="4:9" x14ac:dyDescent="0.35">
      <c r="D380" t="str">
        <f t="shared" si="12"/>
        <v xml:space="preserve"> - </v>
      </c>
      <c r="H380" t="str">
        <f t="shared" si="11"/>
        <v/>
      </c>
    </row>
    <row r="381" spans="4:9" x14ac:dyDescent="0.35">
      <c r="D381" t="str">
        <f t="shared" si="12"/>
        <v xml:space="preserve"> - </v>
      </c>
      <c r="H381" t="str">
        <f t="shared" si="11"/>
        <v/>
      </c>
      <c r="I381" s="7"/>
    </row>
    <row r="382" spans="4:9" x14ac:dyDescent="0.35">
      <c r="D382" t="str">
        <f t="shared" si="12"/>
        <v xml:space="preserve"> - </v>
      </c>
      <c r="H382" t="str">
        <f t="shared" si="11"/>
        <v/>
      </c>
    </row>
    <row r="383" spans="4:9" x14ac:dyDescent="0.35">
      <c r="D383" t="str">
        <f t="shared" si="12"/>
        <v xml:space="preserve"> - </v>
      </c>
      <c r="H383" t="str">
        <f t="shared" si="11"/>
        <v/>
      </c>
    </row>
    <row r="384" spans="4:9" x14ac:dyDescent="0.35">
      <c r="D384" t="str">
        <f t="shared" si="12"/>
        <v xml:space="preserve"> - </v>
      </c>
      <c r="H384" t="str">
        <f t="shared" si="11"/>
        <v/>
      </c>
    </row>
    <row r="385" spans="4:9" x14ac:dyDescent="0.35">
      <c r="D385" t="str">
        <f t="shared" si="12"/>
        <v xml:space="preserve"> - </v>
      </c>
      <c r="H385" t="str">
        <f t="shared" si="11"/>
        <v/>
      </c>
    </row>
    <row r="386" spans="4:9" x14ac:dyDescent="0.35">
      <c r="D386" t="str">
        <f t="shared" si="12"/>
        <v xml:space="preserve"> - </v>
      </c>
      <c r="H386" t="str">
        <f t="shared" si="11"/>
        <v/>
      </c>
    </row>
    <row r="387" spans="4:9" x14ac:dyDescent="0.35">
      <c r="D387" t="str">
        <f t="shared" si="12"/>
        <v xml:space="preserve"> - </v>
      </c>
      <c r="H387" t="str">
        <f t="shared" si="11"/>
        <v/>
      </c>
    </row>
    <row r="388" spans="4:9" x14ac:dyDescent="0.35">
      <c r="D388" t="str">
        <f t="shared" si="12"/>
        <v xml:space="preserve"> - </v>
      </c>
      <c r="H388" t="str">
        <f t="shared" ref="H388:H451" si="13">IF(E388="x","Economic - "&amp;G388,IF(F388="x","Environmental - "&amp;G388,""))</f>
        <v/>
      </c>
    </row>
    <row r="389" spans="4:9" x14ac:dyDescent="0.35">
      <c r="D389" t="str">
        <f t="shared" si="12"/>
        <v xml:space="preserve"> - </v>
      </c>
      <c r="H389" t="str">
        <f t="shared" si="13"/>
        <v/>
      </c>
    </row>
    <row r="390" spans="4:9" x14ac:dyDescent="0.35">
      <c r="D390" t="str">
        <f t="shared" si="12"/>
        <v xml:space="preserve"> - </v>
      </c>
      <c r="H390" t="str">
        <f t="shared" si="13"/>
        <v/>
      </c>
    </row>
    <row r="391" spans="4:9" x14ac:dyDescent="0.35">
      <c r="D391" t="str">
        <f t="shared" si="12"/>
        <v xml:space="preserve"> - </v>
      </c>
      <c r="H391" t="str">
        <f t="shared" si="13"/>
        <v/>
      </c>
    </row>
    <row r="392" spans="4:9" x14ac:dyDescent="0.35">
      <c r="D392" t="str">
        <f t="shared" si="12"/>
        <v xml:space="preserve"> - </v>
      </c>
      <c r="H392" t="str">
        <f t="shared" si="13"/>
        <v/>
      </c>
    </row>
    <row r="393" spans="4:9" x14ac:dyDescent="0.35">
      <c r="D393" t="str">
        <f t="shared" si="12"/>
        <v xml:space="preserve"> - </v>
      </c>
      <c r="H393" t="str">
        <f t="shared" si="13"/>
        <v/>
      </c>
    </row>
    <row r="394" spans="4:9" x14ac:dyDescent="0.35">
      <c r="D394" t="str">
        <f t="shared" si="12"/>
        <v xml:space="preserve"> - </v>
      </c>
      <c r="H394" t="str">
        <f t="shared" si="13"/>
        <v/>
      </c>
    </row>
    <row r="395" spans="4:9" x14ac:dyDescent="0.35">
      <c r="D395" t="str">
        <f t="shared" si="12"/>
        <v xml:space="preserve"> - </v>
      </c>
      <c r="H395" t="str">
        <f t="shared" si="13"/>
        <v/>
      </c>
    </row>
    <row r="396" spans="4:9" x14ac:dyDescent="0.35">
      <c r="D396" t="str">
        <f t="shared" si="12"/>
        <v xml:space="preserve"> - </v>
      </c>
      <c r="H396" t="str">
        <f t="shared" si="13"/>
        <v/>
      </c>
    </row>
    <row r="397" spans="4:9" x14ac:dyDescent="0.35">
      <c r="D397" t="str">
        <f t="shared" si="12"/>
        <v xml:space="preserve"> - </v>
      </c>
      <c r="H397" t="str">
        <f t="shared" si="13"/>
        <v/>
      </c>
    </row>
    <row r="398" spans="4:9" x14ac:dyDescent="0.35">
      <c r="D398" t="str">
        <f t="shared" si="12"/>
        <v xml:space="preserve"> - </v>
      </c>
      <c r="H398" t="str">
        <f t="shared" si="13"/>
        <v/>
      </c>
    </row>
    <row r="399" spans="4:9" x14ac:dyDescent="0.35">
      <c r="D399" t="str">
        <f t="shared" si="12"/>
        <v xml:space="preserve"> - </v>
      </c>
      <c r="H399" t="str">
        <f t="shared" si="13"/>
        <v/>
      </c>
      <c r="I399" s="7"/>
    </row>
    <row r="400" spans="4:9" x14ac:dyDescent="0.35">
      <c r="D400" t="str">
        <f t="shared" si="12"/>
        <v xml:space="preserve"> - </v>
      </c>
      <c r="H400" t="str">
        <f t="shared" si="13"/>
        <v/>
      </c>
    </row>
    <row r="401" spans="4:8" x14ac:dyDescent="0.35">
      <c r="D401" t="str">
        <f t="shared" si="12"/>
        <v xml:space="preserve"> - </v>
      </c>
      <c r="H401" t="str">
        <f t="shared" si="13"/>
        <v/>
      </c>
    </row>
    <row r="402" spans="4:8" x14ac:dyDescent="0.35">
      <c r="D402" t="str">
        <f t="shared" si="12"/>
        <v xml:space="preserve"> - </v>
      </c>
      <c r="H402" t="str">
        <f t="shared" si="13"/>
        <v/>
      </c>
    </row>
    <row r="403" spans="4:8" x14ac:dyDescent="0.35">
      <c r="D403" t="str">
        <f t="shared" si="12"/>
        <v xml:space="preserve"> - </v>
      </c>
      <c r="H403" t="str">
        <f t="shared" si="13"/>
        <v/>
      </c>
    </row>
    <row r="404" spans="4:8" x14ac:dyDescent="0.35">
      <c r="D404" t="str">
        <f t="shared" si="12"/>
        <v xml:space="preserve"> - </v>
      </c>
      <c r="H404" t="str">
        <f t="shared" si="13"/>
        <v/>
      </c>
    </row>
    <row r="405" spans="4:8" x14ac:dyDescent="0.35">
      <c r="D405" t="str">
        <f t="shared" si="12"/>
        <v xml:space="preserve"> - </v>
      </c>
      <c r="H405" t="str">
        <f t="shared" si="13"/>
        <v/>
      </c>
    </row>
    <row r="406" spans="4:8" x14ac:dyDescent="0.35">
      <c r="D406" t="str">
        <f t="shared" ref="D406:D469" si="14">B406&amp;" - "&amp;C406</f>
        <v xml:space="preserve"> - </v>
      </c>
      <c r="H406" t="str">
        <f t="shared" si="13"/>
        <v/>
      </c>
    </row>
    <row r="407" spans="4:8" x14ac:dyDescent="0.35">
      <c r="D407" t="str">
        <f t="shared" si="14"/>
        <v xml:space="preserve"> - </v>
      </c>
      <c r="H407" t="str">
        <f t="shared" si="13"/>
        <v/>
      </c>
    </row>
    <row r="408" spans="4:8" x14ac:dyDescent="0.35">
      <c r="D408" t="str">
        <f t="shared" si="14"/>
        <v xml:space="preserve"> - </v>
      </c>
      <c r="H408" t="str">
        <f t="shared" si="13"/>
        <v/>
      </c>
    </row>
    <row r="409" spans="4:8" x14ac:dyDescent="0.35">
      <c r="D409" t="str">
        <f t="shared" si="14"/>
        <v xml:space="preserve"> - </v>
      </c>
      <c r="H409" t="str">
        <f t="shared" si="13"/>
        <v/>
      </c>
    </row>
    <row r="410" spans="4:8" x14ac:dyDescent="0.35">
      <c r="D410" t="str">
        <f t="shared" si="14"/>
        <v xml:space="preserve"> - </v>
      </c>
      <c r="H410" t="str">
        <f t="shared" si="13"/>
        <v/>
      </c>
    </row>
    <row r="411" spans="4:8" x14ac:dyDescent="0.35">
      <c r="D411" t="str">
        <f t="shared" si="14"/>
        <v xml:space="preserve"> - </v>
      </c>
      <c r="H411" t="str">
        <f t="shared" si="13"/>
        <v/>
      </c>
    </row>
    <row r="412" spans="4:8" x14ac:dyDescent="0.35">
      <c r="D412" t="str">
        <f t="shared" si="14"/>
        <v xml:space="preserve"> - </v>
      </c>
      <c r="H412" t="str">
        <f t="shared" si="13"/>
        <v/>
      </c>
    </row>
    <row r="413" spans="4:8" x14ac:dyDescent="0.35">
      <c r="D413" t="str">
        <f t="shared" si="14"/>
        <v xml:space="preserve"> - </v>
      </c>
      <c r="H413" t="str">
        <f t="shared" si="13"/>
        <v/>
      </c>
    </row>
    <row r="414" spans="4:8" x14ac:dyDescent="0.35">
      <c r="D414" t="str">
        <f t="shared" si="14"/>
        <v xml:space="preserve"> - </v>
      </c>
      <c r="H414" t="str">
        <f t="shared" si="13"/>
        <v/>
      </c>
    </row>
    <row r="415" spans="4:8" x14ac:dyDescent="0.35">
      <c r="D415" t="str">
        <f t="shared" si="14"/>
        <v xml:space="preserve"> - </v>
      </c>
      <c r="H415" t="str">
        <f t="shared" si="13"/>
        <v/>
      </c>
    </row>
    <row r="416" spans="4:8" x14ac:dyDescent="0.35">
      <c r="D416" t="str">
        <f t="shared" si="14"/>
        <v xml:space="preserve"> - </v>
      </c>
      <c r="H416" t="str">
        <f t="shared" si="13"/>
        <v/>
      </c>
    </row>
    <row r="417" spans="4:9" x14ac:dyDescent="0.35">
      <c r="D417" t="str">
        <f t="shared" si="14"/>
        <v xml:space="preserve"> - </v>
      </c>
      <c r="H417" t="str">
        <f t="shared" si="13"/>
        <v/>
      </c>
      <c r="I417" s="7"/>
    </row>
    <row r="418" spans="4:9" x14ac:dyDescent="0.35">
      <c r="D418" t="str">
        <f t="shared" si="14"/>
        <v xml:space="preserve"> - </v>
      </c>
      <c r="H418" t="str">
        <f t="shared" si="13"/>
        <v/>
      </c>
    </row>
    <row r="419" spans="4:9" x14ac:dyDescent="0.35">
      <c r="D419" t="str">
        <f t="shared" si="14"/>
        <v xml:space="preserve"> - </v>
      </c>
      <c r="H419" t="str">
        <f t="shared" si="13"/>
        <v/>
      </c>
    </row>
    <row r="420" spans="4:9" x14ac:dyDescent="0.35">
      <c r="D420" t="str">
        <f t="shared" si="14"/>
        <v xml:space="preserve"> - </v>
      </c>
      <c r="H420" t="str">
        <f t="shared" si="13"/>
        <v/>
      </c>
    </row>
    <row r="421" spans="4:9" x14ac:dyDescent="0.35">
      <c r="D421" t="str">
        <f t="shared" si="14"/>
        <v xml:space="preserve"> - </v>
      </c>
      <c r="H421" t="str">
        <f t="shared" si="13"/>
        <v/>
      </c>
    </row>
    <row r="422" spans="4:9" x14ac:dyDescent="0.35">
      <c r="D422" t="str">
        <f t="shared" si="14"/>
        <v xml:space="preserve"> - </v>
      </c>
      <c r="H422" t="str">
        <f t="shared" si="13"/>
        <v/>
      </c>
    </row>
    <row r="423" spans="4:9" x14ac:dyDescent="0.35">
      <c r="D423" t="str">
        <f t="shared" si="14"/>
        <v xml:space="preserve"> - </v>
      </c>
      <c r="H423" t="str">
        <f t="shared" si="13"/>
        <v/>
      </c>
    </row>
    <row r="424" spans="4:9" x14ac:dyDescent="0.35">
      <c r="D424" t="str">
        <f t="shared" si="14"/>
        <v xml:space="preserve"> - </v>
      </c>
      <c r="H424" t="str">
        <f t="shared" si="13"/>
        <v/>
      </c>
    </row>
    <row r="425" spans="4:9" x14ac:dyDescent="0.35">
      <c r="D425" t="str">
        <f t="shared" si="14"/>
        <v xml:space="preserve"> - </v>
      </c>
      <c r="H425" t="str">
        <f t="shared" si="13"/>
        <v/>
      </c>
    </row>
    <row r="426" spans="4:9" x14ac:dyDescent="0.35">
      <c r="D426" t="str">
        <f t="shared" si="14"/>
        <v xml:space="preserve"> - </v>
      </c>
      <c r="H426" t="str">
        <f t="shared" si="13"/>
        <v/>
      </c>
    </row>
    <row r="427" spans="4:9" x14ac:dyDescent="0.35">
      <c r="D427" t="str">
        <f t="shared" si="14"/>
        <v xml:space="preserve"> - </v>
      </c>
      <c r="H427" t="str">
        <f t="shared" si="13"/>
        <v/>
      </c>
    </row>
    <row r="428" spans="4:9" x14ac:dyDescent="0.35">
      <c r="D428" t="str">
        <f t="shared" si="14"/>
        <v xml:space="preserve"> - </v>
      </c>
      <c r="H428" t="str">
        <f t="shared" si="13"/>
        <v/>
      </c>
    </row>
    <row r="429" spans="4:9" x14ac:dyDescent="0.35">
      <c r="D429" t="str">
        <f t="shared" si="14"/>
        <v xml:space="preserve"> - </v>
      </c>
      <c r="H429" t="str">
        <f t="shared" si="13"/>
        <v/>
      </c>
    </row>
    <row r="430" spans="4:9" x14ac:dyDescent="0.35">
      <c r="D430" t="str">
        <f t="shared" si="14"/>
        <v xml:space="preserve"> - </v>
      </c>
      <c r="H430" t="str">
        <f t="shared" si="13"/>
        <v/>
      </c>
    </row>
    <row r="431" spans="4:9" x14ac:dyDescent="0.35">
      <c r="D431" t="str">
        <f t="shared" si="14"/>
        <v xml:space="preserve"> - </v>
      </c>
      <c r="H431" t="str">
        <f t="shared" si="13"/>
        <v/>
      </c>
    </row>
    <row r="432" spans="4:9" x14ac:dyDescent="0.35">
      <c r="D432" t="str">
        <f t="shared" si="14"/>
        <v xml:space="preserve"> - </v>
      </c>
      <c r="H432" t="str">
        <f t="shared" si="13"/>
        <v/>
      </c>
    </row>
    <row r="433" spans="4:9" x14ac:dyDescent="0.35">
      <c r="D433" t="str">
        <f t="shared" si="14"/>
        <v xml:space="preserve"> - </v>
      </c>
      <c r="H433" t="str">
        <f t="shared" si="13"/>
        <v/>
      </c>
    </row>
    <row r="434" spans="4:9" x14ac:dyDescent="0.35">
      <c r="D434" t="str">
        <f t="shared" si="14"/>
        <v xml:space="preserve"> - </v>
      </c>
      <c r="H434" t="str">
        <f t="shared" si="13"/>
        <v/>
      </c>
    </row>
    <row r="435" spans="4:9" x14ac:dyDescent="0.35">
      <c r="D435" t="str">
        <f t="shared" si="14"/>
        <v xml:space="preserve"> - </v>
      </c>
      <c r="H435" t="str">
        <f t="shared" si="13"/>
        <v/>
      </c>
      <c r="I435" s="7"/>
    </row>
    <row r="436" spans="4:9" x14ac:dyDescent="0.35">
      <c r="D436" t="str">
        <f t="shared" si="14"/>
        <v xml:space="preserve"> - </v>
      </c>
      <c r="H436" t="str">
        <f t="shared" si="13"/>
        <v/>
      </c>
    </row>
    <row r="437" spans="4:9" x14ac:dyDescent="0.35">
      <c r="D437" t="str">
        <f t="shared" si="14"/>
        <v xml:space="preserve"> - </v>
      </c>
      <c r="H437" t="str">
        <f t="shared" si="13"/>
        <v/>
      </c>
    </row>
    <row r="438" spans="4:9" x14ac:dyDescent="0.35">
      <c r="D438" t="str">
        <f t="shared" si="14"/>
        <v xml:space="preserve"> - </v>
      </c>
      <c r="H438" t="str">
        <f t="shared" si="13"/>
        <v/>
      </c>
    </row>
    <row r="439" spans="4:9" x14ac:dyDescent="0.35">
      <c r="D439" t="str">
        <f t="shared" si="14"/>
        <v xml:space="preserve"> - </v>
      </c>
      <c r="H439" t="str">
        <f t="shared" si="13"/>
        <v/>
      </c>
    </row>
    <row r="440" spans="4:9" x14ac:dyDescent="0.35">
      <c r="D440" t="str">
        <f t="shared" si="14"/>
        <v xml:space="preserve"> - </v>
      </c>
      <c r="H440" t="str">
        <f t="shared" si="13"/>
        <v/>
      </c>
    </row>
    <row r="441" spans="4:9" x14ac:dyDescent="0.35">
      <c r="D441" t="str">
        <f t="shared" si="14"/>
        <v xml:space="preserve"> - </v>
      </c>
      <c r="H441" t="str">
        <f t="shared" si="13"/>
        <v/>
      </c>
    </row>
    <row r="442" spans="4:9" x14ac:dyDescent="0.35">
      <c r="D442" t="str">
        <f t="shared" si="14"/>
        <v xml:space="preserve"> - </v>
      </c>
      <c r="H442" t="str">
        <f t="shared" si="13"/>
        <v/>
      </c>
    </row>
    <row r="443" spans="4:9" x14ac:dyDescent="0.35">
      <c r="D443" t="str">
        <f t="shared" si="14"/>
        <v xml:space="preserve"> - </v>
      </c>
      <c r="H443" t="str">
        <f t="shared" si="13"/>
        <v/>
      </c>
    </row>
    <row r="444" spans="4:9" x14ac:dyDescent="0.35">
      <c r="D444" t="str">
        <f t="shared" si="14"/>
        <v xml:space="preserve"> - </v>
      </c>
      <c r="H444" t="str">
        <f t="shared" si="13"/>
        <v/>
      </c>
    </row>
    <row r="445" spans="4:9" x14ac:dyDescent="0.35">
      <c r="D445" t="str">
        <f t="shared" si="14"/>
        <v xml:space="preserve"> - </v>
      </c>
      <c r="H445" t="str">
        <f t="shared" si="13"/>
        <v/>
      </c>
    </row>
    <row r="446" spans="4:9" x14ac:dyDescent="0.35">
      <c r="D446" t="str">
        <f t="shared" si="14"/>
        <v xml:space="preserve"> - </v>
      </c>
      <c r="H446" t="str">
        <f t="shared" si="13"/>
        <v/>
      </c>
    </row>
    <row r="447" spans="4:9" x14ac:dyDescent="0.35">
      <c r="D447" t="str">
        <f t="shared" si="14"/>
        <v xml:space="preserve"> - </v>
      </c>
      <c r="H447" t="str">
        <f t="shared" si="13"/>
        <v/>
      </c>
    </row>
    <row r="448" spans="4:9" x14ac:dyDescent="0.35">
      <c r="D448" t="str">
        <f t="shared" si="14"/>
        <v xml:space="preserve"> - </v>
      </c>
      <c r="H448" t="str">
        <f t="shared" si="13"/>
        <v/>
      </c>
    </row>
    <row r="449" spans="4:9" x14ac:dyDescent="0.35">
      <c r="D449" t="str">
        <f t="shared" si="14"/>
        <v xml:space="preserve"> - </v>
      </c>
      <c r="H449" t="str">
        <f t="shared" si="13"/>
        <v/>
      </c>
    </row>
    <row r="450" spans="4:9" x14ac:dyDescent="0.35">
      <c r="D450" t="str">
        <f t="shared" si="14"/>
        <v xml:space="preserve"> - </v>
      </c>
      <c r="H450" t="str">
        <f t="shared" si="13"/>
        <v/>
      </c>
    </row>
    <row r="451" spans="4:9" x14ac:dyDescent="0.35">
      <c r="D451" t="str">
        <f t="shared" si="14"/>
        <v xml:space="preserve"> - </v>
      </c>
      <c r="H451" t="str">
        <f t="shared" si="13"/>
        <v/>
      </c>
    </row>
    <row r="452" spans="4:9" x14ac:dyDescent="0.35">
      <c r="D452" t="str">
        <f t="shared" si="14"/>
        <v xml:space="preserve"> - </v>
      </c>
      <c r="H452" t="str">
        <f t="shared" ref="H452:H503" si="15">IF(E452="x","Economic - "&amp;G452,IF(F452="x","Environmental - "&amp;G452,""))</f>
        <v/>
      </c>
    </row>
    <row r="453" spans="4:9" x14ac:dyDescent="0.35">
      <c r="D453" t="str">
        <f t="shared" si="14"/>
        <v xml:space="preserve"> - </v>
      </c>
      <c r="H453" t="str">
        <f t="shared" si="15"/>
        <v/>
      </c>
      <c r="I453" s="7"/>
    </row>
    <row r="454" spans="4:9" x14ac:dyDescent="0.35">
      <c r="D454" t="str">
        <f t="shared" si="14"/>
        <v xml:space="preserve"> - </v>
      </c>
      <c r="H454" t="str">
        <f t="shared" si="15"/>
        <v/>
      </c>
    </row>
    <row r="455" spans="4:9" x14ac:dyDescent="0.35">
      <c r="D455" t="str">
        <f t="shared" si="14"/>
        <v xml:space="preserve"> - </v>
      </c>
      <c r="H455" t="str">
        <f t="shared" si="15"/>
        <v/>
      </c>
    </row>
    <row r="456" spans="4:9" x14ac:dyDescent="0.35">
      <c r="D456" t="str">
        <f t="shared" si="14"/>
        <v xml:space="preserve"> - </v>
      </c>
      <c r="H456" t="str">
        <f t="shared" si="15"/>
        <v/>
      </c>
    </row>
    <row r="457" spans="4:9" x14ac:dyDescent="0.35">
      <c r="D457" t="str">
        <f t="shared" si="14"/>
        <v xml:space="preserve"> - </v>
      </c>
      <c r="H457" t="str">
        <f t="shared" si="15"/>
        <v/>
      </c>
    </row>
    <row r="458" spans="4:9" x14ac:dyDescent="0.35">
      <c r="D458" t="str">
        <f t="shared" si="14"/>
        <v xml:space="preserve"> - </v>
      </c>
      <c r="H458" t="str">
        <f t="shared" si="15"/>
        <v/>
      </c>
    </row>
    <row r="459" spans="4:9" x14ac:dyDescent="0.35">
      <c r="D459" t="str">
        <f t="shared" si="14"/>
        <v xml:space="preserve"> - </v>
      </c>
      <c r="H459" t="str">
        <f t="shared" si="15"/>
        <v/>
      </c>
    </row>
    <row r="460" spans="4:9" x14ac:dyDescent="0.35">
      <c r="D460" t="str">
        <f t="shared" si="14"/>
        <v xml:space="preserve"> - </v>
      </c>
      <c r="H460" t="str">
        <f t="shared" si="15"/>
        <v/>
      </c>
    </row>
    <row r="461" spans="4:9" x14ac:dyDescent="0.35">
      <c r="D461" t="str">
        <f t="shared" si="14"/>
        <v xml:space="preserve"> - </v>
      </c>
      <c r="H461" t="str">
        <f t="shared" si="15"/>
        <v/>
      </c>
    </row>
    <row r="462" spans="4:9" x14ac:dyDescent="0.35">
      <c r="D462" t="str">
        <f t="shared" si="14"/>
        <v xml:space="preserve"> - </v>
      </c>
      <c r="H462" t="str">
        <f t="shared" si="15"/>
        <v/>
      </c>
    </row>
    <row r="463" spans="4:9" x14ac:dyDescent="0.35">
      <c r="D463" t="str">
        <f t="shared" si="14"/>
        <v xml:space="preserve"> - </v>
      </c>
      <c r="H463" t="str">
        <f t="shared" si="15"/>
        <v/>
      </c>
    </row>
    <row r="464" spans="4:9" x14ac:dyDescent="0.35">
      <c r="D464" t="str">
        <f t="shared" si="14"/>
        <v xml:space="preserve"> - </v>
      </c>
      <c r="H464" t="str">
        <f t="shared" si="15"/>
        <v/>
      </c>
    </row>
    <row r="465" spans="4:9" x14ac:dyDescent="0.35">
      <c r="D465" t="str">
        <f t="shared" si="14"/>
        <v xml:space="preserve"> - </v>
      </c>
      <c r="H465" t="str">
        <f t="shared" si="15"/>
        <v/>
      </c>
    </row>
    <row r="466" spans="4:9" x14ac:dyDescent="0.35">
      <c r="D466" t="str">
        <f t="shared" si="14"/>
        <v xml:space="preserve"> - </v>
      </c>
      <c r="H466" t="str">
        <f t="shared" si="15"/>
        <v/>
      </c>
    </row>
    <row r="467" spans="4:9" x14ac:dyDescent="0.35">
      <c r="D467" t="str">
        <f t="shared" si="14"/>
        <v xml:space="preserve"> - </v>
      </c>
      <c r="H467" t="str">
        <f t="shared" si="15"/>
        <v/>
      </c>
    </row>
    <row r="468" spans="4:9" x14ac:dyDescent="0.35">
      <c r="D468" t="str">
        <f t="shared" si="14"/>
        <v xml:space="preserve"> - </v>
      </c>
      <c r="H468" t="str">
        <f t="shared" si="15"/>
        <v/>
      </c>
    </row>
    <row r="469" spans="4:9" x14ac:dyDescent="0.35">
      <c r="D469" t="str">
        <f t="shared" si="14"/>
        <v xml:space="preserve"> - </v>
      </c>
      <c r="H469" t="str">
        <f t="shared" si="15"/>
        <v/>
      </c>
    </row>
    <row r="470" spans="4:9" x14ac:dyDescent="0.35">
      <c r="D470" t="str">
        <f t="shared" ref="D470:D503" si="16">B470&amp;" - "&amp;C470</f>
        <v xml:space="preserve"> - </v>
      </c>
      <c r="H470" t="str">
        <f t="shared" si="15"/>
        <v/>
      </c>
    </row>
    <row r="471" spans="4:9" x14ac:dyDescent="0.35">
      <c r="D471" t="str">
        <f t="shared" si="16"/>
        <v xml:space="preserve"> - </v>
      </c>
      <c r="H471" t="str">
        <f t="shared" si="15"/>
        <v/>
      </c>
      <c r="I471" s="7"/>
    </row>
    <row r="472" spans="4:9" x14ac:dyDescent="0.35">
      <c r="D472" t="str">
        <f t="shared" si="16"/>
        <v xml:space="preserve"> - </v>
      </c>
      <c r="H472" t="str">
        <f t="shared" si="15"/>
        <v/>
      </c>
    </row>
    <row r="473" spans="4:9" x14ac:dyDescent="0.35">
      <c r="D473" t="str">
        <f t="shared" si="16"/>
        <v xml:space="preserve"> - </v>
      </c>
      <c r="H473" t="str">
        <f t="shared" si="15"/>
        <v/>
      </c>
    </row>
    <row r="474" spans="4:9" x14ac:dyDescent="0.35">
      <c r="D474" t="str">
        <f t="shared" si="16"/>
        <v xml:space="preserve"> - </v>
      </c>
      <c r="H474" t="str">
        <f t="shared" si="15"/>
        <v/>
      </c>
    </row>
    <row r="475" spans="4:9" x14ac:dyDescent="0.35">
      <c r="D475" t="str">
        <f t="shared" si="16"/>
        <v xml:space="preserve"> - </v>
      </c>
      <c r="H475" t="str">
        <f t="shared" si="15"/>
        <v/>
      </c>
    </row>
    <row r="476" spans="4:9" x14ac:dyDescent="0.35">
      <c r="D476" t="str">
        <f t="shared" si="16"/>
        <v xml:space="preserve"> - </v>
      </c>
      <c r="H476" t="str">
        <f t="shared" si="15"/>
        <v/>
      </c>
    </row>
    <row r="477" spans="4:9" x14ac:dyDescent="0.35">
      <c r="D477" t="str">
        <f t="shared" si="16"/>
        <v xml:space="preserve"> - </v>
      </c>
      <c r="H477" t="str">
        <f t="shared" si="15"/>
        <v/>
      </c>
    </row>
    <row r="478" spans="4:9" x14ac:dyDescent="0.35">
      <c r="D478" t="str">
        <f t="shared" si="16"/>
        <v xml:space="preserve"> - </v>
      </c>
      <c r="H478" t="str">
        <f t="shared" si="15"/>
        <v/>
      </c>
    </row>
    <row r="479" spans="4:9" x14ac:dyDescent="0.35">
      <c r="D479" t="str">
        <f t="shared" si="16"/>
        <v xml:space="preserve"> - </v>
      </c>
      <c r="H479" t="str">
        <f t="shared" si="15"/>
        <v/>
      </c>
    </row>
    <row r="480" spans="4:9" x14ac:dyDescent="0.35">
      <c r="D480" t="str">
        <f t="shared" si="16"/>
        <v xml:space="preserve"> - </v>
      </c>
      <c r="H480" t="str">
        <f t="shared" si="15"/>
        <v/>
      </c>
    </row>
    <row r="481" spans="4:9" x14ac:dyDescent="0.35">
      <c r="D481" t="str">
        <f t="shared" si="16"/>
        <v xml:space="preserve"> - </v>
      </c>
      <c r="H481" t="str">
        <f t="shared" si="15"/>
        <v/>
      </c>
    </row>
    <row r="482" spans="4:9" x14ac:dyDescent="0.35">
      <c r="D482" t="str">
        <f t="shared" si="16"/>
        <v xml:space="preserve"> - </v>
      </c>
      <c r="H482" t="str">
        <f t="shared" si="15"/>
        <v/>
      </c>
    </row>
    <row r="483" spans="4:9" x14ac:dyDescent="0.35">
      <c r="D483" t="str">
        <f t="shared" si="16"/>
        <v xml:space="preserve"> - </v>
      </c>
      <c r="H483" t="str">
        <f t="shared" si="15"/>
        <v/>
      </c>
    </row>
    <row r="484" spans="4:9" x14ac:dyDescent="0.35">
      <c r="D484" t="str">
        <f t="shared" si="16"/>
        <v xml:space="preserve"> - </v>
      </c>
      <c r="H484" t="str">
        <f t="shared" si="15"/>
        <v/>
      </c>
    </row>
    <row r="485" spans="4:9" x14ac:dyDescent="0.35">
      <c r="D485" t="str">
        <f t="shared" si="16"/>
        <v xml:space="preserve"> - </v>
      </c>
      <c r="H485" t="str">
        <f t="shared" si="15"/>
        <v/>
      </c>
    </row>
    <row r="486" spans="4:9" x14ac:dyDescent="0.35">
      <c r="D486" t="str">
        <f t="shared" si="16"/>
        <v xml:space="preserve"> - </v>
      </c>
      <c r="H486" t="str">
        <f t="shared" si="15"/>
        <v/>
      </c>
    </row>
    <row r="487" spans="4:9" x14ac:dyDescent="0.35">
      <c r="D487" t="str">
        <f t="shared" si="16"/>
        <v xml:space="preserve"> - </v>
      </c>
      <c r="H487" t="str">
        <f t="shared" si="15"/>
        <v/>
      </c>
    </row>
    <row r="488" spans="4:9" x14ac:dyDescent="0.35">
      <c r="D488" t="str">
        <f t="shared" si="16"/>
        <v xml:space="preserve"> - </v>
      </c>
      <c r="H488" t="str">
        <f t="shared" si="15"/>
        <v/>
      </c>
    </row>
    <row r="489" spans="4:9" x14ac:dyDescent="0.35">
      <c r="D489" t="str">
        <f t="shared" si="16"/>
        <v xml:space="preserve"> - </v>
      </c>
      <c r="H489" t="str">
        <f t="shared" si="15"/>
        <v/>
      </c>
      <c r="I489" s="7"/>
    </row>
    <row r="490" spans="4:9" x14ac:dyDescent="0.35">
      <c r="D490" t="str">
        <f t="shared" si="16"/>
        <v xml:space="preserve"> - </v>
      </c>
      <c r="H490" t="str">
        <f t="shared" si="15"/>
        <v/>
      </c>
    </row>
    <row r="491" spans="4:9" x14ac:dyDescent="0.35">
      <c r="D491" t="str">
        <f t="shared" si="16"/>
        <v xml:space="preserve"> - </v>
      </c>
      <c r="H491" t="str">
        <f t="shared" si="15"/>
        <v/>
      </c>
    </row>
    <row r="492" spans="4:9" x14ac:dyDescent="0.35">
      <c r="D492" t="str">
        <f t="shared" si="16"/>
        <v xml:space="preserve"> - </v>
      </c>
      <c r="H492" t="str">
        <f t="shared" si="15"/>
        <v/>
      </c>
    </row>
    <row r="493" spans="4:9" x14ac:dyDescent="0.35">
      <c r="D493" t="str">
        <f t="shared" si="16"/>
        <v xml:space="preserve"> - </v>
      </c>
      <c r="H493" t="str">
        <f t="shared" si="15"/>
        <v/>
      </c>
    </row>
    <row r="494" spans="4:9" x14ac:dyDescent="0.35">
      <c r="D494" t="str">
        <f t="shared" si="16"/>
        <v xml:space="preserve"> - </v>
      </c>
      <c r="H494" t="str">
        <f t="shared" si="15"/>
        <v/>
      </c>
    </row>
    <row r="495" spans="4:9" x14ac:dyDescent="0.35">
      <c r="D495" t="str">
        <f t="shared" si="16"/>
        <v xml:space="preserve"> - </v>
      </c>
      <c r="H495" t="str">
        <f t="shared" si="15"/>
        <v/>
      </c>
    </row>
    <row r="496" spans="4:9" x14ac:dyDescent="0.35">
      <c r="D496" t="str">
        <f t="shared" si="16"/>
        <v xml:space="preserve"> - </v>
      </c>
      <c r="H496" t="str">
        <f t="shared" si="15"/>
        <v/>
      </c>
    </row>
    <row r="497" spans="4:8" x14ac:dyDescent="0.35">
      <c r="D497" t="str">
        <f t="shared" si="16"/>
        <v xml:space="preserve"> - </v>
      </c>
      <c r="H497" t="str">
        <f t="shared" si="15"/>
        <v/>
      </c>
    </row>
    <row r="498" spans="4:8" x14ac:dyDescent="0.35">
      <c r="D498" t="str">
        <f t="shared" si="16"/>
        <v xml:space="preserve"> - </v>
      </c>
      <c r="H498" t="str">
        <f t="shared" si="15"/>
        <v/>
      </c>
    </row>
    <row r="499" spans="4:8" x14ac:dyDescent="0.35">
      <c r="D499" t="str">
        <f t="shared" si="16"/>
        <v xml:space="preserve"> - </v>
      </c>
      <c r="H499" t="str">
        <f t="shared" si="15"/>
        <v/>
      </c>
    </row>
    <row r="500" spans="4:8" x14ac:dyDescent="0.35">
      <c r="D500" t="str">
        <f t="shared" si="16"/>
        <v xml:space="preserve"> - </v>
      </c>
      <c r="H500" t="str">
        <f t="shared" si="15"/>
        <v/>
      </c>
    </row>
    <row r="501" spans="4:8" x14ac:dyDescent="0.35">
      <c r="D501" t="str">
        <f t="shared" si="16"/>
        <v xml:space="preserve"> - </v>
      </c>
      <c r="H501" t="str">
        <f t="shared" si="15"/>
        <v/>
      </c>
    </row>
    <row r="502" spans="4:8" x14ac:dyDescent="0.35">
      <c r="D502" t="str">
        <f t="shared" si="16"/>
        <v xml:space="preserve"> - </v>
      </c>
      <c r="H502" t="str">
        <f t="shared" si="15"/>
        <v/>
      </c>
    </row>
    <row r="503" spans="4:8" x14ac:dyDescent="0.35">
      <c r="D503" t="str">
        <f t="shared" si="16"/>
        <v xml:space="preserve"> - </v>
      </c>
      <c r="H503" t="str">
        <f t="shared" si="15"/>
        <v/>
      </c>
    </row>
  </sheetData>
  <mergeCells count="5">
    <mergeCell ref="A1:H1"/>
    <mergeCell ref="I1:L1"/>
    <mergeCell ref="M1:O1"/>
    <mergeCell ref="P1:S1"/>
    <mergeCell ref="T1:X1"/>
  </mergeCells>
  <pageMargins left="0.7" right="0.7" top="0.78740157499999996" bottom="0.78740157499999996" header="0.3" footer="0.3"/>
  <extLst>
    <ext xmlns:x14="http://schemas.microsoft.com/office/spreadsheetml/2009/9/main" uri="{CCE6A557-97BC-4b89-ADB6-D9C93CAAB3DF}">
      <x14:dataValidations xmlns:xm="http://schemas.microsoft.com/office/excel/2006/main" count="5">
        <x14:dataValidation type="list" allowBlank="1" showInputMessage="1" showErrorMessage="1" xr:uid="{06018AD3-534B-4A79-A076-6D820ED873F9}">
          <x14:formula1>
            <xm:f>'Filter criteria'!$A$40:$A$44</xm:f>
          </x14:formula1>
          <xm:sqref>B3:B20</xm:sqref>
        </x14:dataValidation>
        <x14:dataValidation type="list" allowBlank="1" showInputMessage="1" showErrorMessage="1" xr:uid="{8A7B5D15-A27B-458E-B7CF-2445F5FA174D}">
          <x14:formula1>
            <xm:f>'Filter criteria'!$A$16:$A$17</xm:f>
          </x14:formula1>
          <xm:sqref>E3:F503</xm:sqref>
        </x14:dataValidation>
        <x14:dataValidation type="list" allowBlank="1" showInputMessage="1" showErrorMessage="1" xr:uid="{18D6A5F4-1ECC-4C85-AB1B-6A5E67327F26}">
          <x14:formula1>
            <xm:f>'Filter criteria'!$A$51:$A$60</xm:f>
          </x14:formula1>
          <xm:sqref>G3:G503</xm:sqref>
        </x14:dataValidation>
        <x14:dataValidation type="list" allowBlank="1" showInputMessage="1" showErrorMessage="1" xr:uid="{BFCD203C-E8A8-4E40-A025-9F50A4B011AA}">
          <x14:formula1>
            <xm:f>'Filter criteria'!$A$20:$A$36</xm:f>
          </x14:formula1>
          <xm:sqref>C3:C20</xm:sqref>
        </x14:dataValidation>
        <x14:dataValidation type="list" allowBlank="1" showInputMessage="1" showErrorMessage="1" xr:uid="{79D67E7F-3F3D-4FE8-85D5-A2244BE09C22}">
          <x14:formula1>
            <xm:f>'Filter criteria'!$A$63:$A$64</xm:f>
          </x14:formula1>
          <xm:sqref>K3:K20</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27B56-3565-4712-8442-A4BFBDD136CB}">
  <sheetPr codeName="Tabelle6"/>
  <dimension ref="A1:AB34"/>
  <sheetViews>
    <sheetView zoomScale="80" zoomScaleNormal="80" workbookViewId="0"/>
  </sheetViews>
  <sheetFormatPr defaultColWidth="10.90625" defaultRowHeight="14.5" outlineLevelCol="1" x14ac:dyDescent="0.35"/>
  <cols>
    <col min="1" max="1" width="8.81640625" customWidth="1"/>
    <col min="2" max="3" width="10.90625" hidden="1" customWidth="1" outlineLevel="1"/>
    <col min="4" max="4" width="18.26953125" customWidth="1" collapsed="1"/>
    <col min="5" max="5" width="10.90625" hidden="1" customWidth="1" outlineLevel="1"/>
    <col min="6" max="6" width="13" hidden="1" customWidth="1" outlineLevel="1"/>
    <col min="7" max="7" width="10.90625" hidden="1" customWidth="1" outlineLevel="1"/>
    <col min="8" max="8" width="32.36328125" bestFit="1" customWidth="1" collapsed="1"/>
    <col min="9" max="9" width="29.36328125" customWidth="1"/>
    <col min="10" max="10" width="22.6328125" customWidth="1"/>
    <col min="11" max="11" width="13" customWidth="1"/>
    <col min="12" max="12" width="8.36328125" customWidth="1"/>
    <col min="13" max="18" width="10.90625" hidden="1" customWidth="1" outlineLevel="1"/>
    <col min="19" max="19" width="3.7265625" hidden="1" customWidth="1" outlineLevel="1"/>
    <col min="20" max="20" width="11.453125" customWidth="1" collapsed="1"/>
    <col min="21" max="21" width="16.81640625" customWidth="1" collapsed="1"/>
    <col min="22" max="22" width="11.36328125" customWidth="1"/>
    <col min="23" max="24" width="10.90625" customWidth="1"/>
    <col min="25" max="25" width="15.7265625" style="28" customWidth="1"/>
    <col min="26" max="26" width="18.26953125" customWidth="1"/>
    <col min="27" max="27" width="10.90625" customWidth="1"/>
    <col min="28" max="28" width="10.90625" collapsed="1"/>
  </cols>
  <sheetData>
    <row r="1" spans="14:18" customFormat="1" x14ac:dyDescent="0.35"/>
    <row r="2" spans="14:18" customFormat="1" x14ac:dyDescent="0.35"/>
    <row r="3" spans="14:18" customFormat="1" x14ac:dyDescent="0.35"/>
    <row r="4" spans="14:18" customFormat="1" x14ac:dyDescent="0.35"/>
    <row r="5" spans="14:18" customFormat="1" x14ac:dyDescent="0.35">
      <c r="N5" s="4" t="s">
        <v>1194</v>
      </c>
      <c r="O5" t="s">
        <v>1200</v>
      </c>
      <c r="Q5" s="4" t="s">
        <v>1076</v>
      </c>
      <c r="R5" t="s">
        <v>1203</v>
      </c>
    </row>
    <row r="6" spans="14:18" customFormat="1" x14ac:dyDescent="0.35">
      <c r="N6" t="s">
        <v>3</v>
      </c>
      <c r="O6">
        <f>COUNTIF($F$35:$F$2004,"x")</f>
        <v>0</v>
      </c>
      <c r="Q6" t="s">
        <v>904</v>
      </c>
      <c r="R6">
        <f>COUNTIF($B$35:$B$2004,Q6)</f>
        <v>0</v>
      </c>
    </row>
    <row r="7" spans="14:18" customFormat="1" x14ac:dyDescent="0.35">
      <c r="N7" t="s">
        <v>2</v>
      </c>
      <c r="O7">
        <f>COUNTIF($E$35:$E$2004,"x")</f>
        <v>0</v>
      </c>
      <c r="Q7" t="s">
        <v>707</v>
      </c>
      <c r="R7">
        <f t="shared" ref="R7:R9" si="0">COUNTIF($B$35:$B$2004,Q7)</f>
        <v>0</v>
      </c>
    </row>
    <row r="8" spans="14:18" customFormat="1" x14ac:dyDescent="0.35">
      <c r="Q8" t="s">
        <v>350</v>
      </c>
      <c r="R8">
        <f t="shared" si="0"/>
        <v>0</v>
      </c>
    </row>
    <row r="9" spans="14:18" customFormat="1" x14ac:dyDescent="0.35">
      <c r="Q9" t="s">
        <v>503</v>
      </c>
      <c r="R9">
        <f t="shared" si="0"/>
        <v>0</v>
      </c>
    </row>
    <row r="10" spans="14:18" customFormat="1" x14ac:dyDescent="0.35">
      <c r="N10" s="4" t="s">
        <v>1195</v>
      </c>
      <c r="O10" t="s">
        <v>1201</v>
      </c>
      <c r="Q10" t="s">
        <v>6</v>
      </c>
      <c r="R10">
        <f>COUNTIF($B$35:$B$2004,Q10)</f>
        <v>0</v>
      </c>
    </row>
    <row r="11" spans="14:18" customFormat="1" x14ac:dyDescent="0.35">
      <c r="N11" t="s">
        <v>1090</v>
      </c>
      <c r="O11">
        <f>COUNTIFS($E$35:$E$2004,"x",$G$35:$G$2004,N11)</f>
        <v>0</v>
      </c>
    </row>
    <row r="12" spans="14:18" customFormat="1" x14ac:dyDescent="0.35">
      <c r="N12" t="s">
        <v>518</v>
      </c>
      <c r="O12">
        <f t="shared" ref="O12:O14" si="1">COUNTIFS($E$35:$E$2004,"x",$G$35:$G$2004,N12)</f>
        <v>0</v>
      </c>
    </row>
    <row r="13" spans="14:18" customFormat="1" x14ac:dyDescent="0.35">
      <c r="N13" t="s">
        <v>603</v>
      </c>
      <c r="O13">
        <f t="shared" si="1"/>
        <v>0</v>
      </c>
      <c r="Q13" s="4" t="s">
        <v>1</v>
      </c>
      <c r="R13" t="s">
        <v>1204</v>
      </c>
    </row>
    <row r="14" spans="14:18" customFormat="1" x14ac:dyDescent="0.35">
      <c r="N14" t="s">
        <v>1086</v>
      </c>
      <c r="O14">
        <f t="shared" si="1"/>
        <v>0</v>
      </c>
      <c r="Q14" t="s">
        <v>927</v>
      </c>
      <c r="R14">
        <f>COUNTIF($C$35:$C$2004,Q14)</f>
        <v>0</v>
      </c>
    </row>
    <row r="15" spans="14:18" customFormat="1" x14ac:dyDescent="0.35">
      <c r="Q15" t="s">
        <v>905</v>
      </c>
      <c r="R15">
        <f>COUNTIF($C$35:$C$2004,Q15)</f>
        <v>0</v>
      </c>
    </row>
    <row r="16" spans="14:18" customFormat="1" x14ac:dyDescent="0.35">
      <c r="Q16" t="s">
        <v>847</v>
      </c>
      <c r="R16">
        <f t="shared" ref="R16:R30" si="2">COUNTIF($C$35:$C$2004,Q16)</f>
        <v>0</v>
      </c>
    </row>
    <row r="17" spans="14:18" customFormat="1" x14ac:dyDescent="0.35">
      <c r="N17" s="4" t="s">
        <v>1196</v>
      </c>
      <c r="O17" t="s">
        <v>1202</v>
      </c>
      <c r="Q17" t="s">
        <v>726</v>
      </c>
      <c r="R17">
        <f t="shared" si="2"/>
        <v>0</v>
      </c>
    </row>
    <row r="18" spans="14:18" customFormat="1" x14ac:dyDescent="0.35">
      <c r="N18" t="s">
        <v>1090</v>
      </c>
      <c r="O18">
        <f>COUNTIFS($F$35:$F$2004,"x",$G$35:$G$2004,N18)</f>
        <v>0</v>
      </c>
      <c r="Q18" t="s">
        <v>708</v>
      </c>
      <c r="R18">
        <f t="shared" si="2"/>
        <v>0</v>
      </c>
    </row>
    <row r="19" spans="14:18" customFormat="1" x14ac:dyDescent="0.35">
      <c r="N19" t="s">
        <v>1197</v>
      </c>
      <c r="O19">
        <f t="shared" ref="O19:O23" si="3">COUNTIFS($F$35:$F$2004,"x",$G$35:$G$2004,N19)</f>
        <v>0</v>
      </c>
      <c r="Q19" t="s">
        <v>451</v>
      </c>
      <c r="R19">
        <f t="shared" si="2"/>
        <v>0</v>
      </c>
    </row>
    <row r="20" spans="14:18" customFormat="1" x14ac:dyDescent="0.35">
      <c r="N20" t="s">
        <v>1089</v>
      </c>
      <c r="O20">
        <f t="shared" si="3"/>
        <v>0</v>
      </c>
      <c r="Q20" t="s">
        <v>437</v>
      </c>
      <c r="R20">
        <f t="shared" si="2"/>
        <v>0</v>
      </c>
    </row>
    <row r="21" spans="14:18" customFormat="1" x14ac:dyDescent="0.35">
      <c r="N21" t="s">
        <v>1198</v>
      </c>
      <c r="O21">
        <f t="shared" si="3"/>
        <v>0</v>
      </c>
      <c r="Q21" t="s">
        <v>351</v>
      </c>
      <c r="R21">
        <f t="shared" si="2"/>
        <v>0</v>
      </c>
    </row>
    <row r="22" spans="14:18" customFormat="1" x14ac:dyDescent="0.35">
      <c r="N22" t="s">
        <v>1088</v>
      </c>
      <c r="O22">
        <f t="shared" si="3"/>
        <v>0</v>
      </c>
      <c r="Q22" t="s">
        <v>691</v>
      </c>
      <c r="R22">
        <f t="shared" si="2"/>
        <v>0</v>
      </c>
    </row>
    <row r="23" spans="14:18" customFormat="1" x14ac:dyDescent="0.35">
      <c r="N23" t="s">
        <v>1199</v>
      </c>
      <c r="O23">
        <f t="shared" si="3"/>
        <v>0</v>
      </c>
      <c r="Q23" t="s">
        <v>576</v>
      </c>
      <c r="R23">
        <f t="shared" si="2"/>
        <v>0</v>
      </c>
    </row>
    <row r="24" spans="14:18" customFormat="1" x14ac:dyDescent="0.35">
      <c r="Q24" t="s">
        <v>547</v>
      </c>
      <c r="R24">
        <f t="shared" si="2"/>
        <v>0</v>
      </c>
    </row>
    <row r="25" spans="14:18" customFormat="1" x14ac:dyDescent="0.35">
      <c r="Q25" t="s">
        <v>504</v>
      </c>
      <c r="R25">
        <f t="shared" si="2"/>
        <v>0</v>
      </c>
    </row>
    <row r="26" spans="14:18" customFormat="1" x14ac:dyDescent="0.35">
      <c r="Q26" t="s">
        <v>1364</v>
      </c>
      <c r="R26">
        <f t="shared" si="2"/>
        <v>0</v>
      </c>
    </row>
    <row r="27" spans="14:18" customFormat="1" x14ac:dyDescent="0.35">
      <c r="Q27" t="s">
        <v>311</v>
      </c>
      <c r="R27">
        <f t="shared" si="2"/>
        <v>0</v>
      </c>
    </row>
    <row r="28" spans="14:18" customFormat="1" x14ac:dyDescent="0.35">
      <c r="Q28" t="s">
        <v>217</v>
      </c>
      <c r="R28">
        <f t="shared" si="2"/>
        <v>0</v>
      </c>
    </row>
    <row r="29" spans="14:18" customFormat="1" x14ac:dyDescent="0.35">
      <c r="Q29" t="s">
        <v>294</v>
      </c>
      <c r="R29">
        <f t="shared" si="2"/>
        <v>0</v>
      </c>
    </row>
    <row r="30" spans="14:18" customFormat="1" x14ac:dyDescent="0.35">
      <c r="Q30" t="s">
        <v>7</v>
      </c>
      <c r="R30">
        <f t="shared" si="2"/>
        <v>0</v>
      </c>
    </row>
    <row r="31" spans="14:18" customFormat="1" x14ac:dyDescent="0.35"/>
    <row r="32" spans="14:18" customFormat="1" x14ac:dyDescent="0.35"/>
    <row r="33" spans="1:25" x14ac:dyDescent="0.35">
      <c r="A33" s="30"/>
      <c r="B33" s="30"/>
      <c r="C33" s="30"/>
      <c r="D33" s="30"/>
      <c r="E33" s="30"/>
      <c r="F33" s="30"/>
      <c r="G33" s="30"/>
      <c r="H33" s="30"/>
      <c r="I33" s="30"/>
      <c r="J33" s="30"/>
      <c r="K33" s="30"/>
      <c r="L33" s="30"/>
      <c r="M33" s="30"/>
      <c r="N33" s="30"/>
      <c r="O33" s="30"/>
      <c r="P33" s="30"/>
      <c r="Q33" s="30"/>
      <c r="R33" s="30"/>
      <c r="S33" s="30"/>
      <c r="T33" s="30"/>
      <c r="U33" s="30"/>
      <c r="V33" s="30"/>
      <c r="W33" s="30"/>
      <c r="X33" s="30"/>
      <c r="Y33" s="7"/>
    </row>
    <row r="34" spans="1:25" ht="55.5" customHeight="1" x14ac:dyDescent="0.35">
      <c r="A34" s="17" t="s">
        <v>0</v>
      </c>
      <c r="B34" s="17" t="s">
        <v>1076</v>
      </c>
      <c r="C34" s="17" t="s">
        <v>1</v>
      </c>
      <c r="D34" s="17" t="s">
        <v>1192</v>
      </c>
      <c r="E34" s="17" t="s">
        <v>2</v>
      </c>
      <c r="F34" s="17" t="s">
        <v>3</v>
      </c>
      <c r="G34" s="17" t="s">
        <v>1087</v>
      </c>
      <c r="H34" s="17" t="s">
        <v>1193</v>
      </c>
      <c r="I34" s="18" t="s">
        <v>1836</v>
      </c>
      <c r="J34" s="19" t="s">
        <v>1856</v>
      </c>
      <c r="K34" s="19" t="s">
        <v>1211</v>
      </c>
      <c r="L34" s="19" t="s">
        <v>1242</v>
      </c>
      <c r="M34" s="31" t="s">
        <v>1850</v>
      </c>
      <c r="N34" s="31" t="s">
        <v>1210</v>
      </c>
      <c r="O34" s="31" t="s">
        <v>4</v>
      </c>
      <c r="P34" s="32" t="s">
        <v>1835</v>
      </c>
      <c r="Q34" s="32" t="s">
        <v>5</v>
      </c>
      <c r="R34" s="32" t="s">
        <v>1851</v>
      </c>
      <c r="S34" s="32" t="s">
        <v>1819</v>
      </c>
      <c r="T34" s="20" t="s">
        <v>1832</v>
      </c>
      <c r="U34" s="20" t="s">
        <v>1833</v>
      </c>
      <c r="V34" s="20" t="s">
        <v>1834</v>
      </c>
      <c r="W34" s="20" t="s">
        <v>1855</v>
      </c>
      <c r="X34" s="20" t="s">
        <v>1209</v>
      </c>
      <c r="Y34" s="24" t="s">
        <v>1853</v>
      </c>
    </row>
  </sheetData>
  <autoFilter ref="A34:Y557" xr:uid="{41C27B56-3565-4712-8442-A4BFBDD136CB}"/>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CopySelectedIndicators">
                <anchor moveWithCells="1" sizeWithCells="1">
                  <from>
                    <xdr:col>0</xdr:col>
                    <xdr:colOff>101600</xdr:colOff>
                    <xdr:row>2</xdr:row>
                    <xdr:rowOff>120650</xdr:rowOff>
                  </from>
                  <to>
                    <xdr:col>3</xdr:col>
                    <xdr:colOff>704850</xdr:colOff>
                    <xdr:row>5</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3BCE26-9087-4F8F-ACDE-936B45BD22A1}">
          <x14:formula1>
            <xm:f>'Filter criteria'!$A$16:$A$17</xm:f>
          </x14:formula1>
          <xm:sqref>Y35:Y63</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BD8488-CCAF-40A3-BFED-39FB6C4E9AA9}">
  <sheetPr codeName="Tabelle7"/>
  <dimension ref="A3:Y4"/>
  <sheetViews>
    <sheetView workbookViewId="0"/>
  </sheetViews>
  <sheetFormatPr defaultColWidth="10.90625" defaultRowHeight="14.5" outlineLevelCol="1" x14ac:dyDescent="0.35"/>
  <cols>
    <col min="1" max="1" width="7.36328125" customWidth="1"/>
    <col min="2" max="3" width="10" hidden="1" customWidth="1" outlineLevel="1"/>
    <col min="4" max="4" width="12.453125" bestFit="1" customWidth="1" collapsed="1"/>
    <col min="5" max="7" width="10" hidden="1" customWidth="1" outlineLevel="1"/>
    <col min="8" max="8" width="25.7265625" customWidth="1" collapsed="1"/>
    <col min="9" max="9" width="17.08984375" customWidth="1"/>
    <col min="10" max="10" width="14.7265625" customWidth="1"/>
    <col min="11" max="11" width="12.81640625" customWidth="1"/>
    <col min="12" max="12" width="10.1796875" customWidth="1"/>
    <col min="13" max="23" width="10.90625" hidden="1" customWidth="1" outlineLevel="1"/>
    <col min="24" max="24" width="22.26953125" customWidth="1" collapsed="1"/>
    <col min="25" max="25" width="1.90625" hidden="1" customWidth="1"/>
  </cols>
  <sheetData>
    <row r="3" spans="1:25" x14ac:dyDescent="0.35">
      <c r="A3" s="45" t="s">
        <v>967</v>
      </c>
      <c r="B3" s="45"/>
      <c r="C3" s="45"/>
      <c r="D3" s="45"/>
      <c r="E3" s="45"/>
      <c r="F3" s="45"/>
      <c r="G3" s="45"/>
      <c r="H3" s="45"/>
      <c r="I3" s="46" t="s">
        <v>1077</v>
      </c>
      <c r="J3" s="46"/>
      <c r="K3" s="46"/>
      <c r="L3" s="46"/>
      <c r="M3" s="47" t="s">
        <v>4</v>
      </c>
      <c r="N3" s="47"/>
      <c r="O3" s="47"/>
      <c r="P3" s="48" t="s">
        <v>1841</v>
      </c>
      <c r="Q3" s="48"/>
      <c r="R3" s="48"/>
      <c r="S3" s="48"/>
      <c r="T3" s="39" t="s">
        <v>1852</v>
      </c>
      <c r="U3" s="39"/>
      <c r="V3" s="39"/>
      <c r="W3" s="39"/>
      <c r="X3" s="39"/>
    </row>
    <row r="4" spans="1:25" ht="32.5" customHeight="1" x14ac:dyDescent="0.35">
      <c r="A4" s="8" t="s">
        <v>0</v>
      </c>
      <c r="B4" s="8" t="s">
        <v>1076</v>
      </c>
      <c r="C4" s="8" t="s">
        <v>1</v>
      </c>
      <c r="D4" s="8" t="s">
        <v>1192</v>
      </c>
      <c r="E4" s="8" t="s">
        <v>2</v>
      </c>
      <c r="F4" s="8" t="s">
        <v>3</v>
      </c>
      <c r="G4" s="8" t="s">
        <v>1087</v>
      </c>
      <c r="H4" s="8" t="s">
        <v>1193</v>
      </c>
      <c r="I4" s="11" t="s">
        <v>1836</v>
      </c>
      <c r="J4" s="8" t="s">
        <v>1856</v>
      </c>
      <c r="K4" s="38" t="s">
        <v>1211</v>
      </c>
      <c r="L4" s="8" t="s">
        <v>1242</v>
      </c>
      <c r="M4" s="8" t="s">
        <v>1850</v>
      </c>
      <c r="N4" s="8" t="s">
        <v>1210</v>
      </c>
      <c r="O4" s="8" t="s">
        <v>4</v>
      </c>
      <c r="P4" s="8" t="s">
        <v>1835</v>
      </c>
      <c r="Q4" s="8" t="s">
        <v>5</v>
      </c>
      <c r="R4" s="8" t="s">
        <v>1851</v>
      </c>
      <c r="S4" s="8" t="s">
        <v>1819</v>
      </c>
      <c r="T4" s="8" t="s">
        <v>1832</v>
      </c>
      <c r="U4" s="8" t="s">
        <v>1833</v>
      </c>
      <c r="V4" s="8" t="s">
        <v>1834</v>
      </c>
      <c r="W4" s="8" t="s">
        <v>1207</v>
      </c>
      <c r="X4" s="8" t="s">
        <v>1209</v>
      </c>
      <c r="Y4" s="8" t="s">
        <v>1853</v>
      </c>
    </row>
  </sheetData>
  <mergeCells count="5">
    <mergeCell ref="A3:H3"/>
    <mergeCell ref="I3:L3"/>
    <mergeCell ref="M3:O3"/>
    <mergeCell ref="P3:S3"/>
    <mergeCell ref="T3:X3"/>
  </mergeCells>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CopyFinalIndicators">
                <anchor moveWithCells="1" sizeWithCells="1">
                  <from>
                    <xdr:col>0</xdr:col>
                    <xdr:colOff>57150</xdr:colOff>
                    <xdr:row>0</xdr:row>
                    <xdr:rowOff>19050</xdr:rowOff>
                  </from>
                  <to>
                    <xdr:col>7</xdr:col>
                    <xdr:colOff>1003300</xdr:colOff>
                    <xdr:row>1</xdr:row>
                    <xdr:rowOff>139700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3"/>
  <dimension ref="A1:X480"/>
  <sheetViews>
    <sheetView zoomScale="90" zoomScaleNormal="90" workbookViewId="0">
      <pane ySplit="3" topLeftCell="A4" activePane="bottomLeft" state="frozen"/>
      <selection pane="bottomLeft" sqref="A1:H1"/>
    </sheetView>
  </sheetViews>
  <sheetFormatPr defaultColWidth="8.7265625" defaultRowHeight="14.5" outlineLevelCol="1" x14ac:dyDescent="0.35"/>
  <cols>
    <col min="1" max="1" width="7.453125" style="9" customWidth="1"/>
    <col min="2" max="3" width="18.08984375" style="9" hidden="1" customWidth="1" outlineLevel="1"/>
    <col min="4" max="4" width="13.36328125" style="9" customWidth="1" collapsed="1"/>
    <col min="5" max="7" width="18.08984375" style="9" hidden="1" customWidth="1" outlineLevel="1"/>
    <col min="8" max="8" width="15.453125" style="9" customWidth="1" collapsed="1"/>
    <col min="9" max="9" width="17.36328125" style="12" customWidth="1"/>
    <col min="10" max="10" width="15.36328125" style="9" customWidth="1"/>
    <col min="11" max="11" width="11.453125" style="9" customWidth="1"/>
    <col min="12" max="12" width="8.81640625" style="9" customWidth="1"/>
    <col min="13" max="13" width="9" style="9" customWidth="1"/>
    <col min="14" max="14" width="10.6328125" style="9" customWidth="1"/>
    <col min="15" max="15" width="11.7265625" style="9" hidden="1" customWidth="1" outlineLevel="1"/>
    <col min="16" max="16" width="12.7265625" style="9" customWidth="1" collapsed="1"/>
    <col min="17" max="17" width="13" style="9" customWidth="1"/>
    <col min="18" max="19" width="12.7265625" style="9" customWidth="1"/>
    <col min="20" max="20" width="16.08984375" style="9" hidden="1" customWidth="1" outlineLevel="1"/>
    <col min="21" max="21" width="16.1796875" style="9" hidden="1" customWidth="1" outlineLevel="1"/>
    <col min="22" max="22" width="16.08984375" style="9" hidden="1" customWidth="1" outlineLevel="1"/>
    <col min="23" max="23" width="16.08984375" style="9" customWidth="1" collapsed="1"/>
    <col min="24" max="24" width="16.1796875" style="9" customWidth="1"/>
  </cols>
  <sheetData>
    <row r="1" spans="1:24" ht="30.5" customHeight="1" x14ac:dyDescent="0.35">
      <c r="A1" s="45" t="s">
        <v>967</v>
      </c>
      <c r="B1" s="45"/>
      <c r="C1" s="45"/>
      <c r="D1" s="45"/>
      <c r="E1" s="45"/>
      <c r="F1" s="45"/>
      <c r="G1" s="45"/>
      <c r="H1" s="45"/>
      <c r="I1" s="46" t="s">
        <v>1077</v>
      </c>
      <c r="J1" s="46"/>
      <c r="K1" s="46"/>
      <c r="L1" s="46"/>
      <c r="M1" s="47" t="s">
        <v>4</v>
      </c>
      <c r="N1" s="47"/>
      <c r="O1" s="47"/>
      <c r="P1" s="48" t="s">
        <v>1841</v>
      </c>
      <c r="Q1" s="48"/>
      <c r="R1" s="48"/>
      <c r="S1" s="48"/>
      <c r="T1" s="39" t="s">
        <v>1852</v>
      </c>
      <c r="U1" s="39"/>
      <c r="V1" s="39"/>
      <c r="W1" s="39"/>
      <c r="X1" s="39"/>
    </row>
    <row r="2" spans="1:24" ht="58" x14ac:dyDescent="0.35">
      <c r="A2" s="40" t="s">
        <v>1842</v>
      </c>
      <c r="B2" s="41"/>
      <c r="C2" s="41"/>
      <c r="D2" s="41"/>
      <c r="E2" s="41"/>
      <c r="F2" s="41"/>
      <c r="G2" s="41"/>
      <c r="H2" s="41"/>
      <c r="I2" s="42" t="s">
        <v>1843</v>
      </c>
      <c r="J2" s="42"/>
      <c r="K2" s="42"/>
      <c r="L2" s="42"/>
      <c r="M2" s="43" t="s">
        <v>1849</v>
      </c>
      <c r="N2" s="43"/>
      <c r="O2" s="43"/>
      <c r="P2" s="44" t="s">
        <v>1854</v>
      </c>
      <c r="Q2" s="44"/>
      <c r="R2" s="44"/>
      <c r="S2" s="44"/>
      <c r="T2" s="16" t="s">
        <v>1844</v>
      </c>
      <c r="U2" s="16" t="s">
        <v>1845</v>
      </c>
      <c r="V2" s="16" t="s">
        <v>1846</v>
      </c>
      <c r="W2" s="16" t="s">
        <v>1847</v>
      </c>
      <c r="X2" s="16" t="s">
        <v>1848</v>
      </c>
    </row>
    <row r="3" spans="1:24" s="21" customFormat="1" ht="29" x14ac:dyDescent="0.35">
      <c r="A3" s="8" t="s">
        <v>0</v>
      </c>
      <c r="B3" s="8" t="s">
        <v>1076</v>
      </c>
      <c r="C3" s="8" t="s">
        <v>1</v>
      </c>
      <c r="D3" s="8" t="s">
        <v>1192</v>
      </c>
      <c r="E3" s="8" t="s">
        <v>2</v>
      </c>
      <c r="F3" s="8" t="s">
        <v>3</v>
      </c>
      <c r="G3" s="8" t="s">
        <v>1087</v>
      </c>
      <c r="H3" s="8" t="s">
        <v>1193</v>
      </c>
      <c r="I3" s="11" t="s">
        <v>1836</v>
      </c>
      <c r="J3" s="8" t="s">
        <v>1856</v>
      </c>
      <c r="K3" s="8" t="s">
        <v>1860</v>
      </c>
      <c r="L3" s="8" t="s">
        <v>1242</v>
      </c>
      <c r="M3" s="8" t="s">
        <v>1850</v>
      </c>
      <c r="N3" s="8" t="s">
        <v>1210</v>
      </c>
      <c r="O3" s="8" t="s">
        <v>4</v>
      </c>
      <c r="P3" s="8" t="s">
        <v>1835</v>
      </c>
      <c r="Q3" s="8" t="s">
        <v>5</v>
      </c>
      <c r="R3" s="8" t="s">
        <v>1863</v>
      </c>
      <c r="S3" s="8" t="s">
        <v>1862</v>
      </c>
      <c r="T3" s="8" t="s">
        <v>1832</v>
      </c>
      <c r="U3" s="8" t="s">
        <v>1859</v>
      </c>
      <c r="V3" s="8" t="s">
        <v>1861</v>
      </c>
      <c r="W3" s="24" t="s">
        <v>1855</v>
      </c>
      <c r="X3" s="8" t="s">
        <v>1209</v>
      </c>
    </row>
    <row r="4" spans="1:24" ht="51.5" customHeight="1" x14ac:dyDescent="0.35">
      <c r="A4" s="9" t="s">
        <v>1365</v>
      </c>
      <c r="B4" s="9" t="s">
        <v>6</v>
      </c>
      <c r="C4" s="9" t="s">
        <v>7</v>
      </c>
      <c r="D4" s="9" t="str">
        <f>B4&amp;" - "&amp;C4</f>
        <v>Input - Material</v>
      </c>
      <c r="F4" s="9" t="s">
        <v>8</v>
      </c>
      <c r="G4" s="9" t="s">
        <v>1197</v>
      </c>
      <c r="H4" s="9" t="str">
        <f>IF(E4="x","Economic - "&amp;G4,"Environmental - "&amp;G4)</f>
        <v>Environmental - Resource Use &amp; Circular Economy</v>
      </c>
      <c r="I4" s="12" t="s">
        <v>9</v>
      </c>
      <c r="J4" s="9" t="s">
        <v>1091</v>
      </c>
      <c r="K4" s="9" t="s">
        <v>10</v>
      </c>
      <c r="L4" s="9" t="s">
        <v>11</v>
      </c>
      <c r="M4" s="9" t="s">
        <v>12</v>
      </c>
      <c r="N4" s="9">
        <f>LEN(O4) - LEN(SUBSTITUTE(O4, ";", ""))+1</f>
        <v>18</v>
      </c>
      <c r="O4" s="9" t="s">
        <v>2008</v>
      </c>
      <c r="P4" s="9" t="s">
        <v>14</v>
      </c>
      <c r="Q4" s="9" t="s">
        <v>2092</v>
      </c>
      <c r="R4" s="9" t="s">
        <v>1283</v>
      </c>
      <c r="S4" s="9" t="s">
        <v>1823</v>
      </c>
      <c r="W4" s="23"/>
    </row>
    <row r="5" spans="1:24" ht="51.5" customHeight="1" x14ac:dyDescent="0.35">
      <c r="A5" s="9" t="s">
        <v>1366</v>
      </c>
      <c r="B5" s="9" t="s">
        <v>6</v>
      </c>
      <c r="C5" s="9" t="s">
        <v>7</v>
      </c>
      <c r="D5" s="9" t="str">
        <f>B5&amp;" - "&amp;C5</f>
        <v>Input - Material</v>
      </c>
      <c r="F5" s="9" t="s">
        <v>8</v>
      </c>
      <c r="G5" s="9" t="s">
        <v>1197</v>
      </c>
      <c r="H5" s="9" t="str">
        <f>IF(E5="x","Economic - "&amp;G5,"Environmental - "&amp;G5)</f>
        <v>Environmental - Resource Use &amp; Circular Economy</v>
      </c>
      <c r="I5" s="12" t="s">
        <v>1222</v>
      </c>
      <c r="J5" s="9" t="s">
        <v>1223</v>
      </c>
      <c r="K5" s="9" t="s">
        <v>10</v>
      </c>
      <c r="L5" s="9" t="s">
        <v>1815</v>
      </c>
      <c r="M5" s="9" t="s">
        <v>468</v>
      </c>
      <c r="N5" s="9">
        <f>LEN(O5) - LEN(SUBSTITUTE(O5, ";", ""))+1</f>
        <v>9</v>
      </c>
      <c r="O5" s="9" t="s">
        <v>1959</v>
      </c>
      <c r="P5" s="9" t="s">
        <v>74</v>
      </c>
      <c r="Q5" s="9" t="s">
        <v>1317</v>
      </c>
      <c r="R5" s="9" t="s">
        <v>1284</v>
      </c>
      <c r="S5" s="9" t="s">
        <v>1823</v>
      </c>
      <c r="W5" s="23"/>
    </row>
    <row r="6" spans="1:24" ht="51.5" customHeight="1" x14ac:dyDescent="0.35">
      <c r="A6" s="9" t="s">
        <v>1367</v>
      </c>
      <c r="B6" s="9" t="s">
        <v>6</v>
      </c>
      <c r="C6" s="9" t="s">
        <v>7</v>
      </c>
      <c r="D6" s="9" t="str">
        <f>B6&amp;" - "&amp;C6</f>
        <v>Input - Material</v>
      </c>
      <c r="F6" s="9" t="s">
        <v>8</v>
      </c>
      <c r="G6" s="9" t="s">
        <v>1197</v>
      </c>
      <c r="H6" s="9" t="str">
        <f>IF(E6="x","Economic - "&amp;G6,"Environmental - "&amp;G6)</f>
        <v>Environmental - Resource Use &amp; Circular Economy</v>
      </c>
      <c r="I6" s="12" t="s">
        <v>15</v>
      </c>
      <c r="J6" s="9" t="s">
        <v>1205</v>
      </c>
      <c r="K6" s="9" t="s">
        <v>10</v>
      </c>
      <c r="L6" s="9" t="s">
        <v>16</v>
      </c>
      <c r="M6" s="9" t="s">
        <v>468</v>
      </c>
      <c r="N6" s="9">
        <f>LEN(O6) - LEN(SUBSTITUTE(O6, ";", ""))+1</f>
        <v>5</v>
      </c>
      <c r="O6" s="9" t="s">
        <v>2083</v>
      </c>
      <c r="P6" s="9" t="s">
        <v>13</v>
      </c>
      <c r="Q6" s="9" t="s">
        <v>1285</v>
      </c>
      <c r="R6" s="9" t="s">
        <v>1286</v>
      </c>
      <c r="S6" s="9" t="s">
        <v>17</v>
      </c>
      <c r="W6" s="23"/>
    </row>
    <row r="7" spans="1:24" ht="51.5" customHeight="1" x14ac:dyDescent="0.35">
      <c r="A7" s="9" t="s">
        <v>1368</v>
      </c>
      <c r="B7" s="9" t="s">
        <v>6</v>
      </c>
      <c r="C7" s="9" t="s">
        <v>7</v>
      </c>
      <c r="D7" s="9" t="str">
        <f>B7&amp;" - "&amp;C7</f>
        <v>Input - Material</v>
      </c>
      <c r="E7" s="9" t="s">
        <v>8</v>
      </c>
      <c r="G7" s="9" t="s">
        <v>1086</v>
      </c>
      <c r="H7" s="9" t="str">
        <f>IF(E7="x","Economic - "&amp;G7,"Environmental - "&amp;G7)</f>
        <v>Economic - Cost</v>
      </c>
      <c r="I7" s="12" t="s">
        <v>18</v>
      </c>
      <c r="J7" s="9" t="s">
        <v>1244</v>
      </c>
      <c r="K7" s="9" t="s">
        <v>10</v>
      </c>
      <c r="L7" s="9" t="s">
        <v>19</v>
      </c>
      <c r="M7" s="9" t="s">
        <v>468</v>
      </c>
      <c r="N7" s="9">
        <f>LEN(O7) - LEN(SUBSTITUTE(O7, ";", ""))+1</f>
        <v>8</v>
      </c>
      <c r="O7" s="9" t="s">
        <v>2007</v>
      </c>
      <c r="P7" s="9" t="s">
        <v>74</v>
      </c>
      <c r="Q7" s="9" t="s">
        <v>2093</v>
      </c>
      <c r="R7" s="9" t="s">
        <v>1284</v>
      </c>
      <c r="S7" s="9" t="s">
        <v>1823</v>
      </c>
      <c r="W7" s="23"/>
    </row>
    <row r="8" spans="1:24" ht="51.5" customHeight="1" x14ac:dyDescent="0.35">
      <c r="A8" s="9" t="s">
        <v>1369</v>
      </c>
      <c r="B8" s="9" t="s">
        <v>6</v>
      </c>
      <c r="C8" s="9" t="s">
        <v>7</v>
      </c>
      <c r="D8" s="9" t="str">
        <f>B8&amp;" - "&amp;C8</f>
        <v>Input - Material</v>
      </c>
      <c r="F8" s="9" t="s">
        <v>8</v>
      </c>
      <c r="G8" s="9" t="s">
        <v>1197</v>
      </c>
      <c r="H8" s="9" t="str">
        <f>IF(E8="x","Economic - "&amp;G8,"Environmental - "&amp;G8)</f>
        <v>Environmental - Resource Use &amp; Circular Economy</v>
      </c>
      <c r="I8" s="12" t="s">
        <v>21</v>
      </c>
      <c r="J8" s="9" t="s">
        <v>22</v>
      </c>
      <c r="K8" s="9" t="s">
        <v>10</v>
      </c>
      <c r="L8" s="9" t="s">
        <v>16</v>
      </c>
      <c r="M8" s="9" t="s">
        <v>468</v>
      </c>
      <c r="N8" s="9">
        <f>LEN(O8) - LEN(SUBSTITUTE(O8, ";", ""))+1</f>
        <v>2</v>
      </c>
      <c r="O8" s="9" t="s">
        <v>1078</v>
      </c>
      <c r="P8" s="9" t="s">
        <v>23</v>
      </c>
      <c r="Q8" s="9" t="s">
        <v>24</v>
      </c>
      <c r="R8" s="9" t="s">
        <v>25</v>
      </c>
      <c r="S8" s="9" t="s">
        <v>1824</v>
      </c>
      <c r="W8" s="23"/>
    </row>
    <row r="9" spans="1:24" ht="51.5" customHeight="1" x14ac:dyDescent="0.35">
      <c r="A9" s="9" t="s">
        <v>1370</v>
      </c>
      <c r="B9" s="9" t="s">
        <v>6</v>
      </c>
      <c r="C9" s="9" t="s">
        <v>7</v>
      </c>
      <c r="D9" s="9" t="str">
        <f>B9&amp;" - "&amp;C9</f>
        <v>Input - Material</v>
      </c>
      <c r="F9" s="9" t="s">
        <v>8</v>
      </c>
      <c r="G9" s="9" t="s">
        <v>1197</v>
      </c>
      <c r="H9" s="9" t="str">
        <f>IF(E9="x","Economic - "&amp;G9,"Environmental - "&amp;G9)</f>
        <v>Environmental - Resource Use &amp; Circular Economy</v>
      </c>
      <c r="I9" s="12" t="s">
        <v>26</v>
      </c>
      <c r="J9" s="9" t="s">
        <v>27</v>
      </c>
      <c r="K9" s="9" t="s">
        <v>10</v>
      </c>
      <c r="L9" s="9" t="s">
        <v>11</v>
      </c>
      <c r="M9" s="9" t="s">
        <v>468</v>
      </c>
      <c r="N9" s="9">
        <f>LEN(O9) - LEN(SUBSTITUTE(O9, ";", ""))+1</f>
        <v>1</v>
      </c>
      <c r="O9" s="9" t="s">
        <v>28</v>
      </c>
      <c r="P9" s="9" t="s">
        <v>29</v>
      </c>
      <c r="Q9" s="9" t="s">
        <v>30</v>
      </c>
      <c r="R9" s="9" t="s">
        <v>31</v>
      </c>
      <c r="S9" s="9" t="s">
        <v>17</v>
      </c>
      <c r="W9" s="23"/>
    </row>
    <row r="10" spans="1:24" ht="51.5" customHeight="1" x14ac:dyDescent="0.35">
      <c r="A10" s="9" t="s">
        <v>1371</v>
      </c>
      <c r="B10" s="9" t="s">
        <v>6</v>
      </c>
      <c r="C10" s="9" t="s">
        <v>7</v>
      </c>
      <c r="D10" s="9" t="str">
        <f>B10&amp;" - "&amp;C10</f>
        <v>Input - Material</v>
      </c>
      <c r="F10" s="9" t="s">
        <v>8</v>
      </c>
      <c r="G10" s="9" t="s">
        <v>1197</v>
      </c>
      <c r="H10" s="9" t="str">
        <f>IF(E10="x","Economic - "&amp;G10,"Environmental - "&amp;G10)</f>
        <v>Environmental - Resource Use &amp; Circular Economy</v>
      </c>
      <c r="I10" s="12" t="s">
        <v>1990</v>
      </c>
      <c r="J10" s="9" t="s">
        <v>1106</v>
      </c>
      <c r="K10" s="9" t="s">
        <v>10</v>
      </c>
      <c r="L10" s="9" t="s">
        <v>11</v>
      </c>
      <c r="M10" s="9" t="s">
        <v>468</v>
      </c>
      <c r="N10" s="9">
        <f>LEN(O10) - LEN(SUBSTITUTE(O10, ";", ""))+1</f>
        <v>1</v>
      </c>
      <c r="O10" s="9" t="s">
        <v>28</v>
      </c>
      <c r="P10" s="9" t="s">
        <v>29</v>
      </c>
      <c r="Q10" s="9" t="s">
        <v>30</v>
      </c>
      <c r="R10" s="9" t="s">
        <v>31</v>
      </c>
      <c r="S10" s="9" t="s">
        <v>17</v>
      </c>
      <c r="W10" s="23"/>
    </row>
    <row r="11" spans="1:24" ht="51.5" customHeight="1" x14ac:dyDescent="0.35">
      <c r="A11" s="9" t="s">
        <v>1372</v>
      </c>
      <c r="B11" s="9" t="s">
        <v>6</v>
      </c>
      <c r="C11" s="9" t="s">
        <v>7</v>
      </c>
      <c r="D11" s="9" t="str">
        <f>B11&amp;" - "&amp;C11</f>
        <v>Input - Material</v>
      </c>
      <c r="F11" s="9" t="s">
        <v>8</v>
      </c>
      <c r="G11" s="9" t="s">
        <v>1197</v>
      </c>
      <c r="H11" s="9" t="str">
        <f>IF(E11="x","Economic - "&amp;G11,"Environmental - "&amp;G11)</f>
        <v>Environmental - Resource Use &amp; Circular Economy</v>
      </c>
      <c r="I11" s="12" t="s">
        <v>32</v>
      </c>
      <c r="J11" s="9" t="s">
        <v>33</v>
      </c>
      <c r="K11" s="9" t="s">
        <v>10</v>
      </c>
      <c r="L11" s="9" t="s">
        <v>11</v>
      </c>
      <c r="M11" s="9" t="s">
        <v>468</v>
      </c>
      <c r="N11" s="9">
        <f>LEN(O11) - LEN(SUBSTITUTE(O11, ";", ""))+1</f>
        <v>1</v>
      </c>
      <c r="O11" s="9" t="s">
        <v>28</v>
      </c>
      <c r="P11" s="9" t="s">
        <v>29</v>
      </c>
      <c r="Q11" s="9" t="s">
        <v>30</v>
      </c>
      <c r="R11" s="9" t="s">
        <v>31</v>
      </c>
      <c r="S11" s="9" t="s">
        <v>17</v>
      </c>
      <c r="W11" s="23"/>
    </row>
    <row r="12" spans="1:24" ht="51.5" customHeight="1" x14ac:dyDescent="0.35">
      <c r="A12" s="9" t="s">
        <v>1373</v>
      </c>
      <c r="B12" s="9" t="s">
        <v>6</v>
      </c>
      <c r="C12" s="9" t="s">
        <v>7</v>
      </c>
      <c r="D12" s="9" t="str">
        <f>B12&amp;" - "&amp;C12</f>
        <v>Input - Material</v>
      </c>
      <c r="F12" s="9" t="s">
        <v>8</v>
      </c>
      <c r="G12" s="9" t="s">
        <v>1197</v>
      </c>
      <c r="H12" s="9" t="str">
        <f>IF(E12="x","Economic - "&amp;G12,"Environmental - "&amp;G12)</f>
        <v>Environmental - Resource Use &amp; Circular Economy</v>
      </c>
      <c r="I12" s="12" t="s">
        <v>34</v>
      </c>
      <c r="J12" s="9" t="s">
        <v>35</v>
      </c>
      <c r="K12" s="9" t="s">
        <v>10</v>
      </c>
      <c r="L12" s="9" t="s">
        <v>11</v>
      </c>
      <c r="M12" s="9" t="s">
        <v>468</v>
      </c>
      <c r="N12" s="9">
        <f>LEN(O12) - LEN(SUBSTITUTE(O12, ";", ""))+1</f>
        <v>1</v>
      </c>
      <c r="O12" s="9" t="s">
        <v>28</v>
      </c>
      <c r="P12" s="9" t="s">
        <v>29</v>
      </c>
      <c r="Q12" s="9" t="s">
        <v>30</v>
      </c>
      <c r="R12" s="9" t="s">
        <v>31</v>
      </c>
      <c r="S12" s="9" t="s">
        <v>17</v>
      </c>
      <c r="W12" s="23"/>
    </row>
    <row r="13" spans="1:24" ht="51.5" customHeight="1" x14ac:dyDescent="0.35">
      <c r="A13" s="9" t="s">
        <v>1374</v>
      </c>
      <c r="B13" s="9" t="s">
        <v>6</v>
      </c>
      <c r="C13" s="9" t="s">
        <v>7</v>
      </c>
      <c r="D13" s="9" t="str">
        <f>B13&amp;" - "&amp;C13</f>
        <v>Input - Material</v>
      </c>
      <c r="F13" s="9" t="s">
        <v>8</v>
      </c>
      <c r="G13" s="9" t="s">
        <v>1197</v>
      </c>
      <c r="H13" s="9" t="str">
        <f>IF(E13="x","Economic - "&amp;G13,"Environmental - "&amp;G13)</f>
        <v>Environmental - Resource Use &amp; Circular Economy</v>
      </c>
      <c r="I13" s="12" t="s">
        <v>36</v>
      </c>
      <c r="J13" s="9" t="s">
        <v>1276</v>
      </c>
      <c r="K13" s="9" t="s">
        <v>10</v>
      </c>
      <c r="L13" s="9" t="s">
        <v>16</v>
      </c>
      <c r="M13" s="9" t="s">
        <v>468</v>
      </c>
      <c r="N13" s="9">
        <f>LEN(O13) - LEN(SUBSTITUTE(O13, ";", ""))+1</f>
        <v>1</v>
      </c>
      <c r="O13" s="9" t="s">
        <v>38</v>
      </c>
      <c r="P13" s="9" t="s">
        <v>39</v>
      </c>
      <c r="Q13" s="9" t="s">
        <v>40</v>
      </c>
      <c r="R13" s="9" t="s">
        <v>17</v>
      </c>
      <c r="S13" s="9" t="s">
        <v>1825</v>
      </c>
      <c r="W13" s="23"/>
    </row>
    <row r="14" spans="1:24" ht="51.5" customHeight="1" x14ac:dyDescent="0.35">
      <c r="A14" s="9" t="s">
        <v>1375</v>
      </c>
      <c r="B14" s="9" t="s">
        <v>6</v>
      </c>
      <c r="C14" s="9" t="s">
        <v>7</v>
      </c>
      <c r="D14" s="9" t="str">
        <f>B14&amp;" - "&amp;C14</f>
        <v>Input - Material</v>
      </c>
      <c r="F14" s="9" t="s">
        <v>8</v>
      </c>
      <c r="G14" s="9" t="s">
        <v>1197</v>
      </c>
      <c r="H14" s="9" t="str">
        <f>IF(E14="x","Economic - "&amp;G14,"Environmental - "&amp;G14)</f>
        <v>Environmental - Resource Use &amp; Circular Economy</v>
      </c>
      <c r="I14" s="12" t="s">
        <v>41</v>
      </c>
      <c r="J14" s="9" t="s">
        <v>42</v>
      </c>
      <c r="K14" s="9" t="s">
        <v>10</v>
      </c>
      <c r="L14" s="9" t="s">
        <v>43</v>
      </c>
      <c r="M14" s="9" t="s">
        <v>468</v>
      </c>
      <c r="N14" s="9">
        <f>LEN(O14) - LEN(SUBSTITUTE(O14, ";", ""))+1</f>
        <v>1</v>
      </c>
      <c r="O14" s="9" t="s">
        <v>28</v>
      </c>
      <c r="P14" s="9" t="s">
        <v>29</v>
      </c>
      <c r="Q14" s="9" t="s">
        <v>30</v>
      </c>
      <c r="R14" s="9" t="s">
        <v>31</v>
      </c>
      <c r="S14" s="9" t="s">
        <v>17</v>
      </c>
      <c r="W14" s="23"/>
    </row>
    <row r="15" spans="1:24" ht="51.5" customHeight="1" x14ac:dyDescent="0.35">
      <c r="A15" s="9" t="s">
        <v>1376</v>
      </c>
      <c r="B15" s="9" t="s">
        <v>6</v>
      </c>
      <c r="C15" s="9" t="s">
        <v>7</v>
      </c>
      <c r="D15" s="9" t="str">
        <f>B15&amp;" - "&amp;C15</f>
        <v>Input - Material</v>
      </c>
      <c r="F15" s="9" t="s">
        <v>8</v>
      </c>
      <c r="G15" s="9" t="s">
        <v>1197</v>
      </c>
      <c r="H15" s="9" t="str">
        <f>IF(E15="x","Economic - "&amp;G15,"Environmental - "&amp;G15)</f>
        <v>Environmental - Resource Use &amp; Circular Economy</v>
      </c>
      <c r="I15" s="12" t="s">
        <v>44</v>
      </c>
      <c r="J15" s="9" t="s">
        <v>45</v>
      </c>
      <c r="K15" s="9" t="s">
        <v>10</v>
      </c>
      <c r="L15" s="9" t="s">
        <v>37</v>
      </c>
      <c r="M15" s="9" t="s">
        <v>468</v>
      </c>
      <c r="N15" s="9">
        <f>LEN(O15) - LEN(SUBSTITUTE(O15, ";", ""))+1</f>
        <v>1</v>
      </c>
      <c r="O15" s="9" t="s">
        <v>28</v>
      </c>
      <c r="P15" s="9" t="s">
        <v>29</v>
      </c>
      <c r="Q15" s="9" t="s">
        <v>30</v>
      </c>
      <c r="R15" s="9" t="s">
        <v>31</v>
      </c>
      <c r="S15" s="9" t="s">
        <v>17</v>
      </c>
      <c r="W15" s="23"/>
    </row>
    <row r="16" spans="1:24" ht="51.5" customHeight="1" x14ac:dyDescent="0.35">
      <c r="A16" s="9" t="s">
        <v>1377</v>
      </c>
      <c r="B16" s="9" t="s">
        <v>6</v>
      </c>
      <c r="C16" s="9" t="s">
        <v>7</v>
      </c>
      <c r="D16" s="9" t="str">
        <f>B16&amp;" - "&amp;C16</f>
        <v>Input - Material</v>
      </c>
      <c r="F16" s="9" t="s">
        <v>8</v>
      </c>
      <c r="G16" s="9" t="s">
        <v>1197</v>
      </c>
      <c r="H16" s="9" t="str">
        <f>IF(E16="x","Economic - "&amp;G16,"Environmental - "&amp;G16)</f>
        <v>Environmental - Resource Use &amp; Circular Economy</v>
      </c>
      <c r="I16" s="12" t="s">
        <v>46</v>
      </c>
      <c r="J16" s="9" t="s">
        <v>47</v>
      </c>
      <c r="K16" s="9" t="s">
        <v>10</v>
      </c>
      <c r="L16" s="9" t="s">
        <v>11</v>
      </c>
      <c r="M16" s="9" t="s">
        <v>468</v>
      </c>
      <c r="N16" s="9">
        <f>LEN(O16) - LEN(SUBSTITUTE(O16, ";", ""))+1</f>
        <v>1</v>
      </c>
      <c r="O16" s="9" t="s">
        <v>28</v>
      </c>
      <c r="P16" s="9" t="s">
        <v>29</v>
      </c>
      <c r="Q16" s="9" t="s">
        <v>30</v>
      </c>
      <c r="R16" s="9" t="s">
        <v>31</v>
      </c>
      <c r="S16" s="9" t="s">
        <v>17</v>
      </c>
      <c r="W16" s="23"/>
    </row>
    <row r="17" spans="1:23" ht="51.5" customHeight="1" x14ac:dyDescent="0.35">
      <c r="A17" s="9" t="s">
        <v>1378</v>
      </c>
      <c r="B17" s="9" t="s">
        <v>6</v>
      </c>
      <c r="C17" s="9" t="s">
        <v>7</v>
      </c>
      <c r="D17" s="9" t="str">
        <f>B17&amp;" - "&amp;C17</f>
        <v>Input - Material</v>
      </c>
      <c r="F17" s="9" t="s">
        <v>8</v>
      </c>
      <c r="G17" s="9" t="s">
        <v>1197</v>
      </c>
      <c r="H17" s="9" t="str">
        <f>IF(E17="x","Economic - "&amp;G17,"Environmental - "&amp;G17)</f>
        <v>Environmental - Resource Use &amp; Circular Economy</v>
      </c>
      <c r="I17" s="12" t="s">
        <v>48</v>
      </c>
      <c r="J17" s="9" t="s">
        <v>49</v>
      </c>
      <c r="K17" s="9" t="s">
        <v>10</v>
      </c>
      <c r="L17" s="9" t="s">
        <v>11</v>
      </c>
      <c r="M17" s="9" t="s">
        <v>468</v>
      </c>
      <c r="N17" s="9">
        <f>LEN(O17) - LEN(SUBSTITUTE(O17, ";", ""))+1</f>
        <v>9</v>
      </c>
      <c r="O17" s="9" t="s">
        <v>1995</v>
      </c>
      <c r="P17" s="9" t="s">
        <v>13</v>
      </c>
      <c r="Q17" s="9" t="s">
        <v>1288</v>
      </c>
      <c r="R17" s="9" t="s">
        <v>1289</v>
      </c>
      <c r="S17" s="9" t="s">
        <v>1826</v>
      </c>
      <c r="W17" s="23"/>
    </row>
    <row r="18" spans="1:23" ht="51.5" customHeight="1" x14ac:dyDescent="0.35">
      <c r="A18" s="9" t="s">
        <v>1379</v>
      </c>
      <c r="B18" s="9" t="s">
        <v>6</v>
      </c>
      <c r="C18" s="9" t="s">
        <v>7</v>
      </c>
      <c r="D18" s="9" t="str">
        <f>B18&amp;" - "&amp;C18</f>
        <v>Input - Material</v>
      </c>
      <c r="F18" s="9" t="s">
        <v>8</v>
      </c>
      <c r="G18" s="9" t="s">
        <v>1197</v>
      </c>
      <c r="H18" s="9" t="str">
        <f>IF(E18="x","Economic - "&amp;G18,"Environmental - "&amp;G18)</f>
        <v>Environmental - Resource Use &amp; Circular Economy</v>
      </c>
      <c r="I18" s="12" t="s">
        <v>1228</v>
      </c>
      <c r="J18" s="9" t="s">
        <v>1227</v>
      </c>
      <c r="K18" s="9" t="s">
        <v>10</v>
      </c>
      <c r="L18" s="9" t="s">
        <v>1815</v>
      </c>
      <c r="M18" s="9" t="s">
        <v>468</v>
      </c>
      <c r="N18" s="9">
        <f>LEN(O18) - LEN(SUBSTITUTE(O18, ";", ""))+1</f>
        <v>6</v>
      </c>
      <c r="O18" s="9" t="s">
        <v>1969</v>
      </c>
      <c r="P18" s="9" t="s">
        <v>51</v>
      </c>
      <c r="Q18" s="9" t="s">
        <v>2094</v>
      </c>
      <c r="R18" s="9" t="s">
        <v>1287</v>
      </c>
      <c r="S18" s="9" t="s">
        <v>1826</v>
      </c>
      <c r="W18" s="23"/>
    </row>
    <row r="19" spans="1:23" ht="51.5" customHeight="1" x14ac:dyDescent="0.35">
      <c r="A19" s="9" t="s">
        <v>1380</v>
      </c>
      <c r="B19" s="9" t="s">
        <v>6</v>
      </c>
      <c r="C19" s="9" t="s">
        <v>7</v>
      </c>
      <c r="D19" s="9" t="str">
        <f>B19&amp;" - "&amp;C19</f>
        <v>Input - Material</v>
      </c>
      <c r="F19" s="9" t="s">
        <v>8</v>
      </c>
      <c r="G19" s="9" t="s">
        <v>1197</v>
      </c>
      <c r="H19" s="9" t="str">
        <f>IF(E19="x","Economic - "&amp;G19,"Environmental - "&amp;G19)</f>
        <v>Environmental - Resource Use &amp; Circular Economy</v>
      </c>
      <c r="I19" s="12" t="s">
        <v>52</v>
      </c>
      <c r="J19" s="9" t="s">
        <v>53</v>
      </c>
      <c r="K19" s="9" t="s">
        <v>10</v>
      </c>
      <c r="L19" s="9" t="s">
        <v>16</v>
      </c>
      <c r="M19" s="9" t="s">
        <v>468</v>
      </c>
      <c r="N19" s="9">
        <f>LEN(O19) - LEN(SUBSTITUTE(O19, ";", ""))+1</f>
        <v>1</v>
      </c>
      <c r="O19" s="9" t="s">
        <v>115</v>
      </c>
      <c r="P19" s="9" t="s">
        <v>116</v>
      </c>
      <c r="Q19" s="9" t="s">
        <v>117</v>
      </c>
      <c r="R19" s="9" t="s">
        <v>118</v>
      </c>
      <c r="S19" s="9" t="s">
        <v>17</v>
      </c>
      <c r="W19" s="23"/>
    </row>
    <row r="20" spans="1:23" ht="51.5" customHeight="1" x14ac:dyDescent="0.35">
      <c r="A20" s="9" t="s">
        <v>1381</v>
      </c>
      <c r="B20" s="9" t="s">
        <v>6</v>
      </c>
      <c r="C20" s="9" t="s">
        <v>7</v>
      </c>
      <c r="D20" s="9" t="str">
        <f>B20&amp;" - "&amp;C20</f>
        <v>Input - Material</v>
      </c>
      <c r="E20" s="9" t="s">
        <v>8</v>
      </c>
      <c r="G20" s="9" t="s">
        <v>1086</v>
      </c>
      <c r="H20" s="9" t="str">
        <f>IF(E20="x","Economic - "&amp;G20,"Environmental - "&amp;G20)</f>
        <v>Economic - Cost</v>
      </c>
      <c r="I20" s="12" t="s">
        <v>54</v>
      </c>
      <c r="J20" s="9" t="s">
        <v>55</v>
      </c>
      <c r="K20" s="9" t="s">
        <v>10</v>
      </c>
      <c r="L20" s="9" t="s">
        <v>19</v>
      </c>
      <c r="M20" s="9" t="s">
        <v>468</v>
      </c>
      <c r="N20" s="9">
        <f>LEN(O20) - LEN(SUBSTITUTE(O20, ";", ""))+1</f>
        <v>2</v>
      </c>
      <c r="O20" s="9" t="s">
        <v>1922</v>
      </c>
      <c r="P20" s="9" t="s">
        <v>78</v>
      </c>
      <c r="Q20" s="9" t="s">
        <v>1294</v>
      </c>
      <c r="R20" s="9" t="s">
        <v>79</v>
      </c>
      <c r="S20" s="9" t="s">
        <v>17</v>
      </c>
      <c r="W20" s="23"/>
    </row>
    <row r="21" spans="1:23" ht="51.5" customHeight="1" x14ac:dyDescent="0.35">
      <c r="A21" s="9" t="s">
        <v>1382</v>
      </c>
      <c r="B21" s="9" t="s">
        <v>6</v>
      </c>
      <c r="C21" s="9" t="s">
        <v>7</v>
      </c>
      <c r="D21" s="9" t="str">
        <f>B21&amp;" - "&amp;C21</f>
        <v>Input - Material</v>
      </c>
      <c r="F21" s="9" t="s">
        <v>8</v>
      </c>
      <c r="G21" s="9" t="s">
        <v>1197</v>
      </c>
      <c r="H21" s="9" t="str">
        <f>IF(E21="x","Economic - "&amp;G21,"Environmental - "&amp;G21)</f>
        <v>Environmental - Resource Use &amp; Circular Economy</v>
      </c>
      <c r="I21" s="12" t="s">
        <v>2029</v>
      </c>
      <c r="J21" s="9" t="s">
        <v>2030</v>
      </c>
      <c r="K21" s="9" t="s">
        <v>10</v>
      </c>
      <c r="L21" s="9" t="s">
        <v>57</v>
      </c>
      <c r="M21" s="9" t="s">
        <v>468</v>
      </c>
      <c r="N21" s="9">
        <f>LEN(O21) - LEN(SUBSTITUTE(O21, ";", ""))+1</f>
        <v>2</v>
      </c>
      <c r="O21" s="9" t="s">
        <v>2031</v>
      </c>
      <c r="P21" s="9" t="s">
        <v>39</v>
      </c>
      <c r="Q21" s="9" t="s">
        <v>1293</v>
      </c>
      <c r="R21" s="9" t="s">
        <v>17</v>
      </c>
      <c r="S21" s="9" t="s">
        <v>1827</v>
      </c>
      <c r="W21" s="23"/>
    </row>
    <row r="22" spans="1:23" ht="51.5" customHeight="1" x14ac:dyDescent="0.35">
      <c r="A22" s="9" t="s">
        <v>1383</v>
      </c>
      <c r="B22" s="9" t="s">
        <v>6</v>
      </c>
      <c r="C22" s="9" t="s">
        <v>7</v>
      </c>
      <c r="D22" s="9" t="str">
        <f>B22&amp;" - "&amp;C22</f>
        <v>Input - Material</v>
      </c>
      <c r="F22" s="9" t="s">
        <v>8</v>
      </c>
      <c r="G22" s="9" t="s">
        <v>1197</v>
      </c>
      <c r="H22" s="9" t="str">
        <f>IF(E22="x","Economic - "&amp;G22,"Environmental - "&amp;G22)</f>
        <v>Environmental - Resource Use &amp; Circular Economy</v>
      </c>
      <c r="I22" s="12" t="s">
        <v>59</v>
      </c>
      <c r="J22" s="9" t="s">
        <v>1150</v>
      </c>
      <c r="K22" s="9" t="s">
        <v>10</v>
      </c>
      <c r="L22" s="9" t="s">
        <v>16</v>
      </c>
      <c r="M22" s="9" t="s">
        <v>468</v>
      </c>
      <c r="N22" s="9">
        <f>LEN(O22) - LEN(SUBSTITUTE(O22, ";", ""))+1</f>
        <v>1</v>
      </c>
      <c r="O22" s="9" t="s">
        <v>60</v>
      </c>
      <c r="P22" s="9" t="s">
        <v>39</v>
      </c>
      <c r="Q22" s="9" t="s">
        <v>61</v>
      </c>
      <c r="R22" s="9" t="s">
        <v>17</v>
      </c>
      <c r="S22" s="9" t="s">
        <v>1821</v>
      </c>
      <c r="W22" s="23"/>
    </row>
    <row r="23" spans="1:23" ht="51.5" customHeight="1" x14ac:dyDescent="0.35">
      <c r="A23" s="9" t="s">
        <v>1384</v>
      </c>
      <c r="B23" s="9" t="s">
        <v>6</v>
      </c>
      <c r="C23" s="9" t="s">
        <v>7</v>
      </c>
      <c r="D23" s="9" t="str">
        <f>B23&amp;" - "&amp;C23</f>
        <v>Input - Material</v>
      </c>
      <c r="F23" s="9" t="s">
        <v>8</v>
      </c>
      <c r="G23" s="9" t="s">
        <v>1197</v>
      </c>
      <c r="H23" s="9" t="str">
        <f>IF(E23="x","Economic - "&amp;G23,"Environmental - "&amp;G23)</f>
        <v>Environmental - Resource Use &amp; Circular Economy</v>
      </c>
      <c r="I23" s="12" t="s">
        <v>62</v>
      </c>
      <c r="J23" s="9" t="s">
        <v>63</v>
      </c>
      <c r="K23" s="9" t="s">
        <v>10</v>
      </c>
      <c r="L23" s="9" t="s">
        <v>16</v>
      </c>
      <c r="M23" s="9" t="s">
        <v>468</v>
      </c>
      <c r="N23" s="9">
        <f>LEN(O23) - LEN(SUBSTITUTE(O23, ";", ""))+1</f>
        <v>3</v>
      </c>
      <c r="O23" s="9" t="s">
        <v>64</v>
      </c>
      <c r="P23" s="9" t="s">
        <v>65</v>
      </c>
      <c r="Q23" s="9" t="s">
        <v>1291</v>
      </c>
      <c r="R23" s="9" t="s">
        <v>1292</v>
      </c>
      <c r="S23" s="9" t="s">
        <v>1824</v>
      </c>
      <c r="W23" s="23"/>
    </row>
    <row r="24" spans="1:23" ht="51.5" customHeight="1" x14ac:dyDescent="0.35">
      <c r="A24" s="9" t="s">
        <v>1385</v>
      </c>
      <c r="B24" s="9" t="s">
        <v>6</v>
      </c>
      <c r="C24" s="9" t="s">
        <v>7</v>
      </c>
      <c r="D24" s="9" t="str">
        <f>B24&amp;" - "&amp;C24</f>
        <v>Input - Material</v>
      </c>
      <c r="F24" s="9" t="s">
        <v>8</v>
      </c>
      <c r="G24" s="9" t="s">
        <v>1197</v>
      </c>
      <c r="H24" s="9" t="str">
        <f>IF(E24="x","Economic - "&amp;G24,"Environmental - "&amp;G24)</f>
        <v>Environmental - Resource Use &amp; Circular Economy</v>
      </c>
      <c r="I24" s="12" t="s">
        <v>66</v>
      </c>
      <c r="J24" s="9" t="s">
        <v>67</v>
      </c>
      <c r="K24" s="9" t="s">
        <v>10</v>
      </c>
      <c r="L24" s="9" t="s">
        <v>11</v>
      </c>
      <c r="M24" s="9" t="s">
        <v>468</v>
      </c>
      <c r="N24" s="9">
        <f>LEN(O24) - LEN(SUBSTITUTE(O24, ";", ""))+1</f>
        <v>2</v>
      </c>
      <c r="O24" s="9" t="s">
        <v>68</v>
      </c>
      <c r="P24" s="9" t="s">
        <v>69</v>
      </c>
      <c r="Q24" s="9" t="s">
        <v>70</v>
      </c>
      <c r="R24" s="9" t="s">
        <v>71</v>
      </c>
      <c r="S24" s="9" t="s">
        <v>17</v>
      </c>
      <c r="W24" s="23"/>
    </row>
    <row r="25" spans="1:23" ht="51.5" customHeight="1" x14ac:dyDescent="0.35">
      <c r="A25" s="9" t="s">
        <v>1386</v>
      </c>
      <c r="B25" s="9" t="s">
        <v>6</v>
      </c>
      <c r="C25" s="9" t="s">
        <v>7</v>
      </c>
      <c r="D25" s="9" t="str">
        <f>B25&amp;" - "&amp;C25</f>
        <v>Input - Material</v>
      </c>
      <c r="F25" s="9" t="s">
        <v>8</v>
      </c>
      <c r="G25" s="9" t="s">
        <v>1197</v>
      </c>
      <c r="H25" s="9" t="str">
        <f>IF(E25="x","Economic - "&amp;G25,"Environmental - "&amp;G25)</f>
        <v>Environmental - Resource Use &amp; Circular Economy</v>
      </c>
      <c r="I25" s="12" t="s">
        <v>72</v>
      </c>
      <c r="J25" s="9" t="s">
        <v>1125</v>
      </c>
      <c r="K25" s="9" t="s">
        <v>10</v>
      </c>
      <c r="L25" s="9" t="s">
        <v>11</v>
      </c>
      <c r="M25" s="9" t="s">
        <v>468</v>
      </c>
      <c r="N25" s="9">
        <f>LEN(O25) - LEN(SUBSTITUTE(O25, ";", ""))+1</f>
        <v>2</v>
      </c>
      <c r="O25" s="9" t="s">
        <v>73</v>
      </c>
      <c r="P25" s="9" t="s">
        <v>74</v>
      </c>
      <c r="Q25" s="9" t="s">
        <v>1293</v>
      </c>
      <c r="R25" s="9" t="s">
        <v>17</v>
      </c>
      <c r="S25" s="9" t="s">
        <v>1827</v>
      </c>
      <c r="W25" s="23"/>
    </row>
    <row r="26" spans="1:23" ht="51.5" customHeight="1" x14ac:dyDescent="0.35">
      <c r="A26" s="9" t="s">
        <v>1387</v>
      </c>
      <c r="B26" s="9" t="s">
        <v>6</v>
      </c>
      <c r="C26" s="9" t="s">
        <v>7</v>
      </c>
      <c r="D26" s="9" t="str">
        <f>B26&amp;" - "&amp;C26</f>
        <v>Input - Material</v>
      </c>
      <c r="E26" s="9" t="s">
        <v>8</v>
      </c>
      <c r="G26" s="9" t="s">
        <v>1086</v>
      </c>
      <c r="H26" s="9" t="str">
        <f>IF(E26="x","Economic - "&amp;G26,"Environmental - "&amp;G26)</f>
        <v>Economic - Cost</v>
      </c>
      <c r="I26" s="12" t="s">
        <v>75</v>
      </c>
      <c r="J26" s="9" t="s">
        <v>76</v>
      </c>
      <c r="K26" s="9" t="s">
        <v>10</v>
      </c>
      <c r="L26" s="9" t="s">
        <v>19</v>
      </c>
      <c r="M26" s="9" t="s">
        <v>468</v>
      </c>
      <c r="N26" s="9">
        <f>LEN(O26) - LEN(SUBSTITUTE(O26, ";", ""))+1</f>
        <v>3</v>
      </c>
      <c r="O26" s="9" t="s">
        <v>77</v>
      </c>
      <c r="P26" s="9" t="s">
        <v>78</v>
      </c>
      <c r="Q26" s="9" t="s">
        <v>1294</v>
      </c>
      <c r="R26" s="9" t="s">
        <v>79</v>
      </c>
      <c r="S26" s="9" t="s">
        <v>17</v>
      </c>
      <c r="W26" s="23"/>
    </row>
    <row r="27" spans="1:23" ht="51.5" customHeight="1" x14ac:dyDescent="0.35">
      <c r="A27" s="9" t="s">
        <v>1388</v>
      </c>
      <c r="B27" s="9" t="s">
        <v>6</v>
      </c>
      <c r="C27" s="9" t="s">
        <v>7</v>
      </c>
      <c r="D27" s="9" t="str">
        <f>B27&amp;" - "&amp;C27</f>
        <v>Input - Material</v>
      </c>
      <c r="F27" s="9" t="s">
        <v>8</v>
      </c>
      <c r="G27" s="9" t="s">
        <v>1197</v>
      </c>
      <c r="H27" s="9" t="str">
        <f>IF(E27="x","Economic - "&amp;G27,"Environmental - "&amp;G27)</f>
        <v>Environmental - Resource Use &amp; Circular Economy</v>
      </c>
      <c r="I27" s="12" t="s">
        <v>80</v>
      </c>
      <c r="J27" s="9" t="s">
        <v>2174</v>
      </c>
      <c r="K27" s="9" t="s">
        <v>10</v>
      </c>
      <c r="L27" s="9" t="s">
        <v>11</v>
      </c>
      <c r="M27" s="9" t="s">
        <v>468</v>
      </c>
      <c r="N27" s="9">
        <f>LEN(O27) - LEN(SUBSTITUTE(O27, ";", ""))+1</f>
        <v>5</v>
      </c>
      <c r="O27" s="9" t="s">
        <v>81</v>
      </c>
      <c r="P27" s="9" t="s">
        <v>51</v>
      </c>
      <c r="Q27" s="9" t="s">
        <v>1295</v>
      </c>
      <c r="R27" s="9" t="s">
        <v>1292</v>
      </c>
      <c r="S27" s="9" t="s">
        <v>1827</v>
      </c>
      <c r="W27" s="23"/>
    </row>
    <row r="28" spans="1:23" ht="51.5" customHeight="1" x14ac:dyDescent="0.35">
      <c r="A28" s="9" t="s">
        <v>1389</v>
      </c>
      <c r="B28" s="9" t="s">
        <v>6</v>
      </c>
      <c r="C28" s="9" t="s">
        <v>7</v>
      </c>
      <c r="D28" s="9" t="str">
        <f>B28&amp;" - "&amp;C28</f>
        <v>Input - Material</v>
      </c>
      <c r="F28" s="9" t="s">
        <v>8</v>
      </c>
      <c r="G28" s="9" t="s">
        <v>1197</v>
      </c>
      <c r="H28" s="9" t="str">
        <f>IF(E28="x","Economic - "&amp;G28,"Environmental - "&amp;G28)</f>
        <v>Environmental - Resource Use &amp; Circular Economy</v>
      </c>
      <c r="I28" s="12" t="s">
        <v>82</v>
      </c>
      <c r="J28" s="9" t="s">
        <v>83</v>
      </c>
      <c r="K28" s="9" t="s">
        <v>10</v>
      </c>
      <c r="L28" s="9" t="s">
        <v>11</v>
      </c>
      <c r="M28" s="9" t="s">
        <v>468</v>
      </c>
      <c r="N28" s="9">
        <f>LEN(O28) - LEN(SUBSTITUTE(O28, ";", ""))+1</f>
        <v>2</v>
      </c>
      <c r="O28" s="9" t="s">
        <v>1972</v>
      </c>
      <c r="P28" s="9" t="s">
        <v>106</v>
      </c>
      <c r="Q28" s="9" t="s">
        <v>1298</v>
      </c>
      <c r="R28" s="9" t="s">
        <v>85</v>
      </c>
      <c r="S28" s="9" t="s">
        <v>17</v>
      </c>
      <c r="W28" s="23"/>
    </row>
    <row r="29" spans="1:23" ht="51.5" customHeight="1" x14ac:dyDescent="0.35">
      <c r="A29" s="9" t="s">
        <v>1390</v>
      </c>
      <c r="B29" s="9" t="s">
        <v>6</v>
      </c>
      <c r="C29" s="9" t="s">
        <v>7</v>
      </c>
      <c r="D29" s="9" t="str">
        <f>B29&amp;" - "&amp;C29</f>
        <v>Input - Material</v>
      </c>
      <c r="F29" s="9" t="s">
        <v>8</v>
      </c>
      <c r="G29" s="9" t="s">
        <v>1197</v>
      </c>
      <c r="H29" s="9" t="str">
        <f>IF(E29="x","Economic - "&amp;G29,"Environmental - "&amp;G29)</f>
        <v>Environmental - Resource Use &amp; Circular Economy</v>
      </c>
      <c r="I29" s="12" t="s">
        <v>86</v>
      </c>
      <c r="J29" s="9" t="s">
        <v>87</v>
      </c>
      <c r="K29" s="9" t="s">
        <v>10</v>
      </c>
      <c r="L29" s="9" t="s">
        <v>11</v>
      </c>
      <c r="M29" s="9" t="s">
        <v>468</v>
      </c>
      <c r="N29" s="9">
        <f>LEN(O29) - LEN(SUBSTITUTE(O29, ";", ""))+1</f>
        <v>1</v>
      </c>
      <c r="O29" s="9" t="s">
        <v>88</v>
      </c>
      <c r="P29" s="9" t="s">
        <v>84</v>
      </c>
      <c r="Q29" s="9" t="s">
        <v>17</v>
      </c>
      <c r="R29" s="9" t="s">
        <v>89</v>
      </c>
      <c r="S29" s="9" t="s">
        <v>17</v>
      </c>
      <c r="W29" s="23"/>
    </row>
    <row r="30" spans="1:23" ht="51.5" customHeight="1" x14ac:dyDescent="0.35">
      <c r="A30" s="9" t="s">
        <v>1391</v>
      </c>
      <c r="B30" s="9" t="s">
        <v>6</v>
      </c>
      <c r="C30" s="9" t="s">
        <v>7</v>
      </c>
      <c r="D30" s="9" t="str">
        <f>B30&amp;" - "&amp;C30</f>
        <v>Input - Material</v>
      </c>
      <c r="F30" s="9" t="s">
        <v>8</v>
      </c>
      <c r="G30" s="9" t="s">
        <v>1197</v>
      </c>
      <c r="H30" s="9" t="str">
        <f>IF(E30="x","Economic - "&amp;G30,"Environmental - "&amp;G30)</f>
        <v>Environmental - Resource Use &amp; Circular Economy</v>
      </c>
      <c r="I30" s="12" t="s">
        <v>90</v>
      </c>
      <c r="J30" s="9" t="s">
        <v>91</v>
      </c>
      <c r="K30" s="9" t="s">
        <v>10</v>
      </c>
      <c r="L30" s="9" t="s">
        <v>11</v>
      </c>
      <c r="M30" s="9" t="s">
        <v>468</v>
      </c>
      <c r="N30" s="9">
        <f>LEN(O30) - LEN(SUBSTITUTE(O30, ";", ""))+1</f>
        <v>1</v>
      </c>
      <c r="O30" s="9" t="s">
        <v>92</v>
      </c>
      <c r="P30" s="9" t="s">
        <v>84</v>
      </c>
      <c r="Q30" s="9" t="s">
        <v>17</v>
      </c>
      <c r="R30" s="9" t="s">
        <v>93</v>
      </c>
      <c r="S30" s="9" t="s">
        <v>17</v>
      </c>
      <c r="W30" s="23"/>
    </row>
    <row r="31" spans="1:23" ht="51.5" customHeight="1" x14ac:dyDescent="0.35">
      <c r="A31" s="9" t="s">
        <v>1392</v>
      </c>
      <c r="B31" s="9" t="s">
        <v>6</v>
      </c>
      <c r="C31" s="9" t="s">
        <v>7</v>
      </c>
      <c r="D31" s="9" t="str">
        <f>B31&amp;" - "&amp;C31</f>
        <v>Input - Material</v>
      </c>
      <c r="F31" s="9" t="s">
        <v>8</v>
      </c>
      <c r="G31" s="9" t="s">
        <v>1197</v>
      </c>
      <c r="H31" s="9" t="str">
        <f>IF(E31="x","Economic - "&amp;G31,"Environmental - "&amp;G31)</f>
        <v>Environmental - Resource Use &amp; Circular Economy</v>
      </c>
      <c r="I31" s="12" t="s">
        <v>94</v>
      </c>
      <c r="J31" s="9" t="s">
        <v>95</v>
      </c>
      <c r="K31" s="9" t="s">
        <v>10</v>
      </c>
      <c r="L31" s="9" t="s">
        <v>11</v>
      </c>
      <c r="M31" s="9" t="s">
        <v>468</v>
      </c>
      <c r="N31" s="9">
        <f>LEN(O31) - LEN(SUBSTITUTE(O31, ";", ""))+1</f>
        <v>10</v>
      </c>
      <c r="O31" s="9" t="s">
        <v>2054</v>
      </c>
      <c r="P31" s="9" t="s">
        <v>50</v>
      </c>
      <c r="Q31" s="9" t="s">
        <v>2095</v>
      </c>
      <c r="R31" s="9" t="s">
        <v>1292</v>
      </c>
      <c r="S31" s="9" t="s">
        <v>1827</v>
      </c>
      <c r="W31" s="23"/>
    </row>
    <row r="32" spans="1:23" ht="51.5" customHeight="1" x14ac:dyDescent="0.35">
      <c r="A32" s="9" t="s">
        <v>1393</v>
      </c>
      <c r="B32" s="9" t="s">
        <v>6</v>
      </c>
      <c r="C32" s="9" t="s">
        <v>7</v>
      </c>
      <c r="D32" s="9" t="str">
        <f>B32&amp;" - "&amp;C32</f>
        <v>Input - Material</v>
      </c>
      <c r="F32" s="9" t="s">
        <v>8</v>
      </c>
      <c r="G32" s="9" t="s">
        <v>1197</v>
      </c>
      <c r="H32" s="9" t="str">
        <f>IF(E32="x","Economic - "&amp;G32,"Environmental - "&amp;G32)</f>
        <v>Environmental - Resource Use &amp; Circular Economy</v>
      </c>
      <c r="I32" s="12" t="s">
        <v>97</v>
      </c>
      <c r="J32" s="9" t="s">
        <v>1271</v>
      </c>
      <c r="K32" s="9" t="s">
        <v>10</v>
      </c>
      <c r="L32" s="9" t="s">
        <v>1252</v>
      </c>
      <c r="M32" s="9" t="s">
        <v>468</v>
      </c>
      <c r="N32" s="9">
        <f>LEN(O32) - LEN(SUBSTITUTE(O32, ";", ""))+1</f>
        <v>1</v>
      </c>
      <c r="O32" s="9" t="s">
        <v>1059</v>
      </c>
      <c r="P32" s="9" t="s">
        <v>39</v>
      </c>
      <c r="Q32" s="9" t="s">
        <v>98</v>
      </c>
      <c r="R32" s="9" t="s">
        <v>17</v>
      </c>
      <c r="S32" s="9" t="s">
        <v>1828</v>
      </c>
      <c r="W32" s="23"/>
    </row>
    <row r="33" spans="1:23" ht="51.5" customHeight="1" x14ac:dyDescent="0.35">
      <c r="A33" s="9" t="s">
        <v>1394</v>
      </c>
      <c r="B33" s="9" t="s">
        <v>6</v>
      </c>
      <c r="C33" s="9" t="s">
        <v>7</v>
      </c>
      <c r="D33" s="9" t="str">
        <f>B33&amp;" - "&amp;C33</f>
        <v>Input - Material</v>
      </c>
      <c r="F33" s="9" t="s">
        <v>8</v>
      </c>
      <c r="G33" s="9" t="s">
        <v>1197</v>
      </c>
      <c r="H33" s="9" t="str">
        <f>IF(E33="x","Economic - "&amp;G33,"Environmental - "&amp;G33)</f>
        <v>Environmental - Resource Use &amp; Circular Economy</v>
      </c>
      <c r="I33" s="12" t="s">
        <v>99</v>
      </c>
      <c r="J33" s="9" t="s">
        <v>1272</v>
      </c>
      <c r="K33" s="9" t="s">
        <v>10</v>
      </c>
      <c r="L33" s="9" t="s">
        <v>1252</v>
      </c>
      <c r="M33" s="9" t="s">
        <v>468</v>
      </c>
      <c r="N33" s="9">
        <f>LEN(O33) - LEN(SUBSTITUTE(O33, ";", ""))+1</f>
        <v>1</v>
      </c>
      <c r="O33" s="9" t="s">
        <v>1059</v>
      </c>
      <c r="P33" s="9" t="s">
        <v>39</v>
      </c>
      <c r="Q33" s="9" t="s">
        <v>98</v>
      </c>
      <c r="R33" s="9" t="s">
        <v>17</v>
      </c>
      <c r="S33" s="9" t="s">
        <v>1828</v>
      </c>
      <c r="W33" s="23"/>
    </row>
    <row r="34" spans="1:23" ht="51.5" customHeight="1" x14ac:dyDescent="0.35">
      <c r="A34" s="9" t="s">
        <v>1395</v>
      </c>
      <c r="B34" s="9" t="s">
        <v>6</v>
      </c>
      <c r="C34" s="9" t="s">
        <v>7</v>
      </c>
      <c r="D34" s="9" t="str">
        <f>B34&amp;" - "&amp;C34</f>
        <v>Input - Material</v>
      </c>
      <c r="F34" s="9" t="s">
        <v>8</v>
      </c>
      <c r="G34" s="9" t="s">
        <v>1197</v>
      </c>
      <c r="H34" s="9" t="str">
        <f>IF(E34="x","Economic - "&amp;G34,"Environmental - "&amp;G34)</f>
        <v>Environmental - Resource Use &amp; Circular Economy</v>
      </c>
      <c r="I34" s="12" t="s">
        <v>100</v>
      </c>
      <c r="J34" s="9" t="s">
        <v>101</v>
      </c>
      <c r="K34" s="9" t="s">
        <v>10</v>
      </c>
      <c r="L34" s="9" t="s">
        <v>11</v>
      </c>
      <c r="M34" s="9" t="s">
        <v>468</v>
      </c>
      <c r="N34" s="9">
        <f>LEN(O34) - LEN(SUBSTITUTE(O34, ";", ""))+1</f>
        <v>1</v>
      </c>
      <c r="O34" s="9" t="s">
        <v>88</v>
      </c>
      <c r="P34" s="9" t="s">
        <v>84</v>
      </c>
      <c r="Q34" s="9" t="s">
        <v>17</v>
      </c>
      <c r="R34" s="9" t="s">
        <v>89</v>
      </c>
      <c r="S34" s="9" t="s">
        <v>17</v>
      </c>
      <c r="W34" s="23"/>
    </row>
    <row r="35" spans="1:23" ht="51.5" customHeight="1" x14ac:dyDescent="0.35">
      <c r="A35" s="9" t="s">
        <v>2055</v>
      </c>
      <c r="B35" s="9" t="s">
        <v>6</v>
      </c>
      <c r="C35" s="9" t="s">
        <v>7</v>
      </c>
      <c r="D35" s="9" t="str">
        <f>B35&amp;" - "&amp;C35</f>
        <v>Input - Material</v>
      </c>
      <c r="E35" s="9" t="s">
        <v>8</v>
      </c>
      <c r="G35" s="9" t="s">
        <v>1086</v>
      </c>
      <c r="H35" s="9" t="str">
        <f>IF(E35="x","Economic - "&amp;G35,"Environmental - "&amp;G35)</f>
        <v>Economic - Cost</v>
      </c>
      <c r="I35" s="12" t="s">
        <v>108</v>
      </c>
      <c r="J35" s="9" t="s">
        <v>109</v>
      </c>
      <c r="K35" s="9" t="s">
        <v>10</v>
      </c>
      <c r="L35" s="9" t="s">
        <v>19</v>
      </c>
      <c r="M35" s="9" t="s">
        <v>468</v>
      </c>
      <c r="N35" s="9">
        <f>LEN(O35) - LEN(SUBSTITUTE(O35, ";", ""))+1</f>
        <v>1</v>
      </c>
      <c r="O35" s="9" t="s">
        <v>88</v>
      </c>
      <c r="P35" s="9" t="s">
        <v>84</v>
      </c>
      <c r="Q35" s="9" t="s">
        <v>17</v>
      </c>
      <c r="R35" s="9" t="s">
        <v>89</v>
      </c>
      <c r="S35" s="9" t="s">
        <v>17</v>
      </c>
      <c r="W35" s="23"/>
    </row>
    <row r="36" spans="1:23" ht="51.5" customHeight="1" x14ac:dyDescent="0.35">
      <c r="A36" s="9" t="s">
        <v>2056</v>
      </c>
      <c r="B36" s="9" t="s">
        <v>6</v>
      </c>
      <c r="C36" s="9" t="s">
        <v>7</v>
      </c>
      <c r="D36" s="9" t="str">
        <f>B36&amp;" - "&amp;C36</f>
        <v>Input - Material</v>
      </c>
      <c r="E36" s="9" t="s">
        <v>8</v>
      </c>
      <c r="G36" s="9" t="s">
        <v>1086</v>
      </c>
      <c r="H36" s="9" t="str">
        <f>IF(E36="x","Economic - "&amp;G36,"Environmental - "&amp;G36)</f>
        <v>Economic - Cost</v>
      </c>
      <c r="I36" s="12" t="s">
        <v>1988</v>
      </c>
      <c r="J36" s="9" t="s">
        <v>1989</v>
      </c>
      <c r="K36" s="9" t="s">
        <v>10</v>
      </c>
      <c r="L36" s="9" t="s">
        <v>19</v>
      </c>
      <c r="M36" s="9" t="s">
        <v>468</v>
      </c>
      <c r="N36" s="9">
        <f>LEN(O36) - LEN(SUBSTITUTE(O36, ";", ""))+1</f>
        <v>1</v>
      </c>
      <c r="O36" s="9" t="s">
        <v>315</v>
      </c>
      <c r="P36" s="9" t="s">
        <v>316</v>
      </c>
      <c r="Q36" s="9" t="s">
        <v>145</v>
      </c>
      <c r="R36" s="9" t="s">
        <v>107</v>
      </c>
      <c r="S36" s="9" t="s">
        <v>17</v>
      </c>
      <c r="W36" s="23"/>
    </row>
    <row r="37" spans="1:23" ht="51.5" customHeight="1" x14ac:dyDescent="0.35">
      <c r="A37" s="9" t="s">
        <v>2057</v>
      </c>
      <c r="B37" s="9" t="s">
        <v>6</v>
      </c>
      <c r="C37" s="9" t="s">
        <v>7</v>
      </c>
      <c r="D37" s="9" t="str">
        <f>B37&amp;" - "&amp;C37</f>
        <v>Input - Material</v>
      </c>
      <c r="F37" s="9" t="s">
        <v>8</v>
      </c>
      <c r="G37" s="9" t="s">
        <v>1197</v>
      </c>
      <c r="H37" s="9" t="str">
        <f>IF(E37="x","Economic - "&amp;G37,"Environmental - "&amp;G37)</f>
        <v>Environmental - Resource Use &amp; Circular Economy</v>
      </c>
      <c r="I37" s="12" t="s">
        <v>111</v>
      </c>
      <c r="J37" s="9" t="s">
        <v>112</v>
      </c>
      <c r="K37" s="9" t="s">
        <v>10</v>
      </c>
      <c r="L37" s="9" t="s">
        <v>11</v>
      </c>
      <c r="M37" s="9" t="s">
        <v>468</v>
      </c>
      <c r="N37" s="9">
        <f>LEN(O37) - LEN(SUBSTITUTE(O37, ";", ""))+1</f>
        <v>5</v>
      </c>
      <c r="O37" s="9" t="s">
        <v>2017</v>
      </c>
      <c r="P37" s="9" t="s">
        <v>14</v>
      </c>
      <c r="Q37" s="9" t="s">
        <v>2096</v>
      </c>
      <c r="R37" s="9" t="s">
        <v>1300</v>
      </c>
      <c r="S37" s="9" t="s">
        <v>1827</v>
      </c>
      <c r="W37" s="23"/>
    </row>
    <row r="38" spans="1:23" ht="51.5" customHeight="1" x14ac:dyDescent="0.35">
      <c r="A38" s="9" t="s">
        <v>1396</v>
      </c>
      <c r="B38" s="9" t="s">
        <v>6</v>
      </c>
      <c r="C38" s="9" t="s">
        <v>7</v>
      </c>
      <c r="D38" s="9" t="str">
        <f>B38&amp;" - "&amp;C38</f>
        <v>Input - Material</v>
      </c>
      <c r="F38" s="9" t="s">
        <v>8</v>
      </c>
      <c r="G38" s="9" t="s">
        <v>1197</v>
      </c>
      <c r="H38" s="9" t="str">
        <f>IF(E38="x","Economic - "&amp;G38,"Environmental - "&amp;G38)</f>
        <v>Environmental - Resource Use &amp; Circular Economy</v>
      </c>
      <c r="I38" s="12" t="s">
        <v>1232</v>
      </c>
      <c r="J38" s="9" t="s">
        <v>2013</v>
      </c>
      <c r="K38" s="9" t="s">
        <v>10</v>
      </c>
      <c r="L38" s="9" t="s">
        <v>1221</v>
      </c>
      <c r="M38" s="9" t="s">
        <v>468</v>
      </c>
      <c r="N38" s="9">
        <f>LEN(O38) - LEN(SUBSTITUTE(O38, ";", ""))+1</f>
        <v>2</v>
      </c>
      <c r="O38" s="9" t="s">
        <v>132</v>
      </c>
      <c r="P38" s="9" t="s">
        <v>39</v>
      </c>
      <c r="Q38" s="9" t="s">
        <v>133</v>
      </c>
      <c r="R38" s="9" t="s">
        <v>17</v>
      </c>
      <c r="S38" s="9" t="s">
        <v>1829</v>
      </c>
      <c r="W38" s="23"/>
    </row>
    <row r="39" spans="1:23" ht="51.5" customHeight="1" x14ac:dyDescent="0.35">
      <c r="A39" s="9" t="s">
        <v>1397</v>
      </c>
      <c r="B39" s="9" t="s">
        <v>6</v>
      </c>
      <c r="C39" s="9" t="s">
        <v>7</v>
      </c>
      <c r="D39" s="9" t="str">
        <f>B39&amp;" - "&amp;C39</f>
        <v>Input - Material</v>
      </c>
      <c r="F39" s="9" t="s">
        <v>8</v>
      </c>
      <c r="G39" s="9" t="s">
        <v>1197</v>
      </c>
      <c r="H39" s="9" t="str">
        <f>IF(E39="x","Economic - "&amp;G39,"Environmental - "&amp;G39)</f>
        <v>Environmental - Resource Use &amp; Circular Economy</v>
      </c>
      <c r="I39" s="12" t="s">
        <v>113</v>
      </c>
      <c r="J39" s="9" t="s">
        <v>114</v>
      </c>
      <c r="K39" s="9" t="s">
        <v>10</v>
      </c>
      <c r="L39" s="9" t="s">
        <v>16</v>
      </c>
      <c r="M39" s="9" t="s">
        <v>468</v>
      </c>
      <c r="N39" s="9">
        <f>LEN(O39) - LEN(SUBSTITUTE(O39, ";", ""))+1</f>
        <v>1</v>
      </c>
      <c r="O39" s="9" t="s">
        <v>115</v>
      </c>
      <c r="P39" s="9" t="s">
        <v>116</v>
      </c>
      <c r="Q39" s="9" t="s">
        <v>117</v>
      </c>
      <c r="R39" s="9" t="s">
        <v>118</v>
      </c>
      <c r="S39" s="9" t="s">
        <v>17</v>
      </c>
      <c r="W39" s="23"/>
    </row>
    <row r="40" spans="1:23" ht="51.5" customHeight="1" x14ac:dyDescent="0.35">
      <c r="A40" s="9" t="s">
        <v>1398</v>
      </c>
      <c r="B40" s="9" t="s">
        <v>6</v>
      </c>
      <c r="C40" s="9" t="s">
        <v>7</v>
      </c>
      <c r="D40" s="9" t="str">
        <f>B40&amp;" - "&amp;C40</f>
        <v>Input - Material</v>
      </c>
      <c r="F40" s="9" t="s">
        <v>8</v>
      </c>
      <c r="G40" s="9" t="s">
        <v>1197</v>
      </c>
      <c r="H40" s="9" t="str">
        <f>IF(E40="x","Economic - "&amp;G40,"Environmental - "&amp;G40)</f>
        <v>Environmental - Resource Use &amp; Circular Economy</v>
      </c>
      <c r="I40" s="12" t="s">
        <v>119</v>
      </c>
      <c r="J40" s="9" t="s">
        <v>120</v>
      </c>
      <c r="K40" s="9" t="s">
        <v>10</v>
      </c>
      <c r="L40" s="9" t="s">
        <v>57</v>
      </c>
      <c r="M40" s="9" t="s">
        <v>468</v>
      </c>
      <c r="N40" s="9">
        <f>LEN(O40) - LEN(SUBSTITUTE(O40, ";", ""))+1</f>
        <v>1</v>
      </c>
      <c r="O40" s="9" t="s">
        <v>38</v>
      </c>
      <c r="P40" s="9" t="s">
        <v>39</v>
      </c>
      <c r="Q40" s="9" t="s">
        <v>40</v>
      </c>
      <c r="R40" s="9" t="s">
        <v>17</v>
      </c>
      <c r="S40" s="9" t="s">
        <v>1825</v>
      </c>
      <c r="W40" s="23"/>
    </row>
    <row r="41" spans="1:23" ht="51.5" customHeight="1" x14ac:dyDescent="0.35">
      <c r="A41" s="9" t="s">
        <v>1399</v>
      </c>
      <c r="B41" s="9" t="s">
        <v>6</v>
      </c>
      <c r="C41" s="9" t="s">
        <v>7</v>
      </c>
      <c r="D41" s="9" t="str">
        <f>B41&amp;" - "&amp;C41</f>
        <v>Input - Material</v>
      </c>
      <c r="F41" s="9" t="s">
        <v>8</v>
      </c>
      <c r="G41" s="9" t="s">
        <v>1197</v>
      </c>
      <c r="H41" s="9" t="str">
        <f>IF(E41="x","Economic - "&amp;G41,"Environmental - "&amp;G41)</f>
        <v>Environmental - Resource Use &amp; Circular Economy</v>
      </c>
      <c r="I41" s="12" t="s">
        <v>121</v>
      </c>
      <c r="J41" s="9" t="s">
        <v>122</v>
      </c>
      <c r="K41" s="9" t="s">
        <v>10</v>
      </c>
      <c r="L41" s="9" t="s">
        <v>11</v>
      </c>
      <c r="M41" s="9" t="s">
        <v>468</v>
      </c>
      <c r="N41" s="9">
        <f>LEN(O41) - LEN(SUBSTITUTE(O41, ";", ""))+1</f>
        <v>1</v>
      </c>
      <c r="O41" s="9" t="s">
        <v>123</v>
      </c>
      <c r="P41" s="9" t="s">
        <v>116</v>
      </c>
      <c r="Q41" s="9" t="s">
        <v>124</v>
      </c>
      <c r="R41" s="9" t="s">
        <v>125</v>
      </c>
      <c r="S41" s="9" t="s">
        <v>17</v>
      </c>
      <c r="W41" s="23"/>
    </row>
    <row r="42" spans="1:23" ht="51.5" customHeight="1" x14ac:dyDescent="0.35">
      <c r="A42" s="9" t="s">
        <v>1400</v>
      </c>
      <c r="B42" s="9" t="s">
        <v>6</v>
      </c>
      <c r="C42" s="9" t="s">
        <v>7</v>
      </c>
      <c r="D42" s="9" t="str">
        <f>B42&amp;" - "&amp;C42</f>
        <v>Input - Material</v>
      </c>
      <c r="F42" s="9" t="s">
        <v>8</v>
      </c>
      <c r="G42" s="9" t="s">
        <v>1197</v>
      </c>
      <c r="H42" s="9" t="str">
        <f>IF(E42="x","Economic - "&amp;G42,"Environmental - "&amp;G42)</f>
        <v>Environmental - Resource Use &amp; Circular Economy</v>
      </c>
      <c r="I42" s="12" t="s">
        <v>126</v>
      </c>
      <c r="J42" s="9" t="s">
        <v>127</v>
      </c>
      <c r="K42" s="9" t="s">
        <v>10</v>
      </c>
      <c r="L42" s="9" t="s">
        <v>11</v>
      </c>
      <c r="M42" s="9" t="s">
        <v>468</v>
      </c>
      <c r="N42" s="9">
        <f>LEN(O42) - LEN(SUBSTITUTE(O42, ";", ""))+1</f>
        <v>1</v>
      </c>
      <c r="O42" s="9" t="s">
        <v>38</v>
      </c>
      <c r="P42" s="9" t="s">
        <v>39</v>
      </c>
      <c r="Q42" s="9" t="s">
        <v>40</v>
      </c>
      <c r="R42" s="9" t="s">
        <v>17</v>
      </c>
      <c r="S42" s="9" t="s">
        <v>1825</v>
      </c>
      <c r="W42" s="23"/>
    </row>
    <row r="43" spans="1:23" ht="51.5" customHeight="1" x14ac:dyDescent="0.35">
      <c r="A43" s="9" t="s">
        <v>1401</v>
      </c>
      <c r="B43" s="9" t="s">
        <v>6</v>
      </c>
      <c r="C43" s="9" t="s">
        <v>7</v>
      </c>
      <c r="D43" s="9" t="str">
        <f>B43&amp;" - "&amp;C43</f>
        <v>Input - Material</v>
      </c>
      <c r="F43" s="9" t="s">
        <v>8</v>
      </c>
      <c r="G43" s="9" t="s">
        <v>1197</v>
      </c>
      <c r="H43" s="9" t="str">
        <f>IF(E43="x","Economic - "&amp;G43,"Environmental - "&amp;G43)</f>
        <v>Environmental - Resource Use &amp; Circular Economy</v>
      </c>
      <c r="I43" s="12" t="s">
        <v>128</v>
      </c>
      <c r="J43" s="9" t="s">
        <v>129</v>
      </c>
      <c r="K43" s="9" t="s">
        <v>10</v>
      </c>
      <c r="L43" s="9" t="s">
        <v>16</v>
      </c>
      <c r="M43" s="9" t="s">
        <v>468</v>
      </c>
      <c r="N43" s="9">
        <f>LEN(O43) - LEN(SUBSTITUTE(O43, ";", ""))+1</f>
        <v>2</v>
      </c>
      <c r="O43" s="9" t="s">
        <v>358</v>
      </c>
      <c r="P43" s="9" t="s">
        <v>14</v>
      </c>
      <c r="Q43" s="9" t="s">
        <v>308</v>
      </c>
      <c r="R43" s="9" t="s">
        <v>1284</v>
      </c>
      <c r="S43" s="9" t="s">
        <v>1827</v>
      </c>
      <c r="W43" s="23"/>
    </row>
    <row r="44" spans="1:23" ht="51.5" customHeight="1" x14ac:dyDescent="0.35">
      <c r="A44" s="9" t="s">
        <v>1402</v>
      </c>
      <c r="B44" s="9" t="s">
        <v>6</v>
      </c>
      <c r="C44" s="9" t="s">
        <v>7</v>
      </c>
      <c r="D44" s="9" t="str">
        <f>B44&amp;" - "&amp;C44</f>
        <v>Input - Material</v>
      </c>
      <c r="F44" s="9" t="s">
        <v>8</v>
      </c>
      <c r="G44" s="9" t="s">
        <v>1197</v>
      </c>
      <c r="H44" s="9" t="str">
        <f>IF(E44="x","Economic - "&amp;G44,"Environmental - "&amp;G44)</f>
        <v>Environmental - Resource Use &amp; Circular Economy</v>
      </c>
      <c r="I44" s="12" t="s">
        <v>130</v>
      </c>
      <c r="J44" s="9" t="s">
        <v>131</v>
      </c>
      <c r="K44" s="9" t="s">
        <v>10</v>
      </c>
      <c r="L44" s="9" t="s">
        <v>16</v>
      </c>
      <c r="M44" s="9" t="s">
        <v>468</v>
      </c>
      <c r="N44" s="9">
        <f>LEN(O44) - LEN(SUBSTITUTE(O44, ";", ""))+1</f>
        <v>2</v>
      </c>
      <c r="O44" s="9" t="s">
        <v>132</v>
      </c>
      <c r="P44" s="9" t="s">
        <v>39</v>
      </c>
      <c r="Q44" s="9" t="s">
        <v>133</v>
      </c>
      <c r="R44" s="9" t="s">
        <v>17</v>
      </c>
      <c r="S44" s="9" t="s">
        <v>1829</v>
      </c>
      <c r="W44" s="23"/>
    </row>
    <row r="45" spans="1:23" ht="51.5" customHeight="1" x14ac:dyDescent="0.35">
      <c r="A45" s="9" t="s">
        <v>1403</v>
      </c>
      <c r="B45" s="9" t="s">
        <v>6</v>
      </c>
      <c r="C45" s="9" t="s">
        <v>7</v>
      </c>
      <c r="D45" s="9" t="str">
        <f>B45&amp;" - "&amp;C45</f>
        <v>Input - Material</v>
      </c>
      <c r="F45" s="9" t="s">
        <v>8</v>
      </c>
      <c r="G45" s="9" t="s">
        <v>1197</v>
      </c>
      <c r="H45" s="9" t="str">
        <f>IF(E45="x","Economic - "&amp;G45,"Environmental - "&amp;G45)</f>
        <v>Environmental - Resource Use &amp; Circular Economy</v>
      </c>
      <c r="I45" s="12" t="s">
        <v>134</v>
      </c>
      <c r="J45" s="9" t="s">
        <v>135</v>
      </c>
      <c r="K45" s="9" t="s">
        <v>10</v>
      </c>
      <c r="L45" s="9" t="s">
        <v>11</v>
      </c>
      <c r="M45" s="9" t="s">
        <v>468</v>
      </c>
      <c r="N45" s="9">
        <f>LEN(O45) - LEN(SUBSTITUTE(O45, ";", ""))+1</f>
        <v>3</v>
      </c>
      <c r="O45" s="9" t="s">
        <v>1361</v>
      </c>
      <c r="P45" s="9" t="s">
        <v>14</v>
      </c>
      <c r="Q45" s="9" t="s">
        <v>1294</v>
      </c>
      <c r="R45" s="9" t="s">
        <v>1284</v>
      </c>
      <c r="S45" s="9" t="s">
        <v>1820</v>
      </c>
      <c r="W45" s="23"/>
    </row>
    <row r="46" spans="1:23" ht="51.5" customHeight="1" x14ac:dyDescent="0.35">
      <c r="A46" s="9" t="s">
        <v>1404</v>
      </c>
      <c r="B46" s="9" t="s">
        <v>6</v>
      </c>
      <c r="C46" s="9" t="s">
        <v>7</v>
      </c>
      <c r="D46" s="9" t="str">
        <f>B46&amp;" - "&amp;C46</f>
        <v>Input - Material</v>
      </c>
      <c r="F46" s="9" t="s">
        <v>8</v>
      </c>
      <c r="G46" s="9" t="s">
        <v>1197</v>
      </c>
      <c r="H46" s="9" t="str">
        <f>IF(E46="x","Economic - "&amp;G46,"Environmental - "&amp;G46)</f>
        <v>Environmental - Resource Use &amp; Circular Economy</v>
      </c>
      <c r="I46" s="12" t="s">
        <v>136</v>
      </c>
      <c r="J46" s="9" t="s">
        <v>137</v>
      </c>
      <c r="K46" s="9" t="s">
        <v>10</v>
      </c>
      <c r="L46" s="9" t="s">
        <v>11</v>
      </c>
      <c r="M46" s="9" t="s">
        <v>468</v>
      </c>
      <c r="N46" s="9">
        <f>LEN(O46) - LEN(SUBSTITUTE(O46, ";", ""))+1</f>
        <v>3</v>
      </c>
      <c r="O46" s="9" t="s">
        <v>1066</v>
      </c>
      <c r="P46" s="9" t="s">
        <v>65</v>
      </c>
      <c r="Q46" s="9" t="s">
        <v>1296</v>
      </c>
      <c r="R46" s="9" t="s">
        <v>1302</v>
      </c>
      <c r="S46" s="9" t="s">
        <v>1827</v>
      </c>
      <c r="W46" s="23"/>
    </row>
    <row r="47" spans="1:23" ht="51.5" customHeight="1" x14ac:dyDescent="0.35">
      <c r="A47" s="9" t="s">
        <v>1405</v>
      </c>
      <c r="B47" s="9" t="s">
        <v>6</v>
      </c>
      <c r="C47" s="9" t="s">
        <v>7</v>
      </c>
      <c r="D47" s="9" t="str">
        <f>B47&amp;" - "&amp;C47</f>
        <v>Input - Material</v>
      </c>
      <c r="F47" s="9" t="s">
        <v>8</v>
      </c>
      <c r="G47" s="9" t="s">
        <v>1197</v>
      </c>
      <c r="H47" s="9" t="str">
        <f>IF(E47="x","Economic - "&amp;G47,"Environmental - "&amp;G47)</f>
        <v>Environmental - Resource Use &amp; Circular Economy</v>
      </c>
      <c r="I47" s="12" t="s">
        <v>1152</v>
      </c>
      <c r="J47" s="9" t="s">
        <v>1151</v>
      </c>
      <c r="K47" s="9" t="s">
        <v>10</v>
      </c>
      <c r="L47" s="9" t="s">
        <v>11</v>
      </c>
      <c r="M47" s="9" t="s">
        <v>468</v>
      </c>
      <c r="N47" s="9">
        <f>LEN(O47) - LEN(SUBSTITUTE(O47, ";", ""))+1</f>
        <v>1</v>
      </c>
      <c r="O47" s="9" t="s">
        <v>38</v>
      </c>
      <c r="P47" s="9" t="s">
        <v>39</v>
      </c>
      <c r="Q47" s="9" t="s">
        <v>40</v>
      </c>
      <c r="R47" s="9" t="s">
        <v>17</v>
      </c>
      <c r="S47" s="9" t="s">
        <v>1825</v>
      </c>
      <c r="W47" s="23"/>
    </row>
    <row r="48" spans="1:23" ht="51.5" customHeight="1" x14ac:dyDescent="0.35">
      <c r="A48" s="9" t="s">
        <v>1406</v>
      </c>
      <c r="B48" s="9" t="s">
        <v>6</v>
      </c>
      <c r="C48" s="9" t="s">
        <v>7</v>
      </c>
      <c r="D48" s="9" t="str">
        <f>B48&amp;" - "&amp;C48</f>
        <v>Input - Material</v>
      </c>
      <c r="F48" s="9" t="s">
        <v>8</v>
      </c>
      <c r="G48" s="9" t="s">
        <v>1197</v>
      </c>
      <c r="H48" s="9" t="str">
        <f>IF(E48="x","Economic - "&amp;G48,"Environmental - "&amp;G48)</f>
        <v>Environmental - Resource Use &amp; Circular Economy</v>
      </c>
      <c r="I48" s="12" t="s">
        <v>138</v>
      </c>
      <c r="J48" s="9" t="s">
        <v>139</v>
      </c>
      <c r="K48" s="9" t="s">
        <v>10</v>
      </c>
      <c r="L48" s="9" t="s">
        <v>11</v>
      </c>
      <c r="M48" s="9" t="s">
        <v>468</v>
      </c>
      <c r="N48" s="9">
        <f>LEN(O48) - LEN(SUBSTITUTE(O48, ";", ""))+1</f>
        <v>1</v>
      </c>
      <c r="O48" s="9" t="s">
        <v>38</v>
      </c>
      <c r="P48" s="9" t="s">
        <v>39</v>
      </c>
      <c r="Q48" s="9" t="s">
        <v>40</v>
      </c>
      <c r="R48" s="9" t="s">
        <v>17</v>
      </c>
      <c r="S48" s="9" t="s">
        <v>1825</v>
      </c>
      <c r="W48" s="23"/>
    </row>
    <row r="49" spans="1:23" ht="51.5" customHeight="1" x14ac:dyDescent="0.35">
      <c r="A49" s="9" t="s">
        <v>1407</v>
      </c>
      <c r="B49" s="9" t="s">
        <v>6</v>
      </c>
      <c r="C49" s="9" t="s">
        <v>7</v>
      </c>
      <c r="D49" s="9" t="str">
        <f>B49&amp;" - "&amp;C49</f>
        <v>Input - Material</v>
      </c>
      <c r="E49" s="9" t="s">
        <v>8</v>
      </c>
      <c r="G49" s="9" t="s">
        <v>1086</v>
      </c>
      <c r="H49" s="9" t="str">
        <f>IF(E49="x","Economic - "&amp;G49,"Environmental - "&amp;G49)</f>
        <v>Economic - Cost</v>
      </c>
      <c r="I49" s="12" t="s">
        <v>140</v>
      </c>
      <c r="J49" s="9" t="s">
        <v>1097</v>
      </c>
      <c r="K49" s="9" t="s">
        <v>10</v>
      </c>
      <c r="L49" s="9" t="s">
        <v>19</v>
      </c>
      <c r="M49" s="9" t="s">
        <v>468</v>
      </c>
      <c r="N49" s="9">
        <f>LEN(O49) - LEN(SUBSTITUTE(O49, ";", ""))+1</f>
        <v>4</v>
      </c>
      <c r="O49" s="9" t="s">
        <v>1909</v>
      </c>
      <c r="P49" s="9" t="s">
        <v>14</v>
      </c>
      <c r="Q49" s="9" t="s">
        <v>2097</v>
      </c>
      <c r="R49" s="9" t="s">
        <v>1284</v>
      </c>
      <c r="S49" s="9" t="s">
        <v>1823</v>
      </c>
      <c r="W49" s="23"/>
    </row>
    <row r="50" spans="1:23" ht="51.5" customHeight="1" x14ac:dyDescent="0.35">
      <c r="A50" s="9" t="s">
        <v>1408</v>
      </c>
      <c r="B50" s="9" t="s">
        <v>6</v>
      </c>
      <c r="C50" s="9" t="s">
        <v>7</v>
      </c>
      <c r="D50" s="9" t="str">
        <f>B50&amp;" - "&amp;C50</f>
        <v>Input - Material</v>
      </c>
      <c r="F50" s="9" t="s">
        <v>8</v>
      </c>
      <c r="G50" s="9" t="s">
        <v>1197</v>
      </c>
      <c r="H50" s="9" t="str">
        <f>IF(E50="x","Economic - "&amp;G50,"Environmental - "&amp;G50)</f>
        <v>Environmental - Resource Use &amp; Circular Economy</v>
      </c>
      <c r="I50" s="12" t="s">
        <v>141</v>
      </c>
      <c r="J50" s="9" t="s">
        <v>1262</v>
      </c>
      <c r="K50" s="9" t="s">
        <v>10</v>
      </c>
      <c r="L50" s="9" t="s">
        <v>16</v>
      </c>
      <c r="M50" s="9" t="s">
        <v>468</v>
      </c>
      <c r="N50" s="9">
        <f>LEN(O50) - LEN(SUBSTITUTE(O50, ";", ""))+1</f>
        <v>1</v>
      </c>
      <c r="O50" s="9" t="s">
        <v>38</v>
      </c>
      <c r="P50" s="9" t="s">
        <v>39</v>
      </c>
      <c r="Q50" s="9" t="s">
        <v>40</v>
      </c>
      <c r="R50" s="9" t="s">
        <v>17</v>
      </c>
      <c r="S50" s="9" t="s">
        <v>1825</v>
      </c>
      <c r="W50" s="23"/>
    </row>
    <row r="51" spans="1:23" ht="51.5" customHeight="1" x14ac:dyDescent="0.35">
      <c r="A51" s="9" t="s">
        <v>1409</v>
      </c>
      <c r="B51" s="9" t="s">
        <v>6</v>
      </c>
      <c r="C51" s="9" t="s">
        <v>7</v>
      </c>
      <c r="D51" s="9" t="str">
        <f>B51&amp;" - "&amp;C51</f>
        <v>Input - Material</v>
      </c>
      <c r="F51" s="9" t="s">
        <v>8</v>
      </c>
      <c r="G51" s="9" t="s">
        <v>1197</v>
      </c>
      <c r="H51" s="9" t="str">
        <f>IF(E51="x","Economic - "&amp;G51,"Environmental - "&amp;G51)</f>
        <v>Environmental - Resource Use &amp; Circular Economy</v>
      </c>
      <c r="I51" s="12" t="s">
        <v>142</v>
      </c>
      <c r="J51" s="9" t="s">
        <v>143</v>
      </c>
      <c r="K51" s="9" t="s">
        <v>10</v>
      </c>
      <c r="L51" s="9" t="s">
        <v>16</v>
      </c>
      <c r="M51" s="9" t="s">
        <v>468</v>
      </c>
      <c r="N51" s="9">
        <f>LEN(O51) - LEN(SUBSTITUTE(O51, ";", ""))+1</f>
        <v>1</v>
      </c>
      <c r="O51" s="9" t="s">
        <v>144</v>
      </c>
      <c r="P51" s="9" t="s">
        <v>84</v>
      </c>
      <c r="Q51" s="9" t="s">
        <v>145</v>
      </c>
      <c r="R51" s="9" t="s">
        <v>85</v>
      </c>
      <c r="S51" s="9" t="s">
        <v>17</v>
      </c>
      <c r="W51" s="23"/>
    </row>
    <row r="52" spans="1:23" ht="51.5" customHeight="1" x14ac:dyDescent="0.35">
      <c r="A52" s="9" t="s">
        <v>1410</v>
      </c>
      <c r="B52" s="9" t="s">
        <v>6</v>
      </c>
      <c r="C52" s="9" t="s">
        <v>7</v>
      </c>
      <c r="D52" s="9" t="str">
        <f>B52&amp;" - "&amp;C52</f>
        <v>Input - Material</v>
      </c>
      <c r="F52" s="9" t="s">
        <v>8</v>
      </c>
      <c r="G52" s="9" t="s">
        <v>1197</v>
      </c>
      <c r="H52" s="9" t="str">
        <f>IF(E52="x","Economic - "&amp;G52,"Environmental - "&amp;G52)</f>
        <v>Environmental - Resource Use &amp; Circular Economy</v>
      </c>
      <c r="I52" s="12" t="s">
        <v>147</v>
      </c>
      <c r="J52" s="9" t="s">
        <v>1126</v>
      </c>
      <c r="K52" s="9" t="s">
        <v>10</v>
      </c>
      <c r="L52" s="9" t="s">
        <v>11</v>
      </c>
      <c r="M52" s="9" t="s">
        <v>468</v>
      </c>
      <c r="N52" s="9">
        <f>LEN(O52) - LEN(SUBSTITUTE(O52, ";", ""))+1</f>
        <v>3</v>
      </c>
      <c r="O52" s="9" t="s">
        <v>1951</v>
      </c>
      <c r="P52" s="9" t="s">
        <v>50</v>
      </c>
      <c r="Q52" s="9" t="s">
        <v>1356</v>
      </c>
      <c r="R52" s="9" t="s">
        <v>17</v>
      </c>
      <c r="S52" s="9" t="s">
        <v>1822</v>
      </c>
      <c r="W52" s="23"/>
    </row>
    <row r="53" spans="1:23" ht="51.5" customHeight="1" x14ac:dyDescent="0.35">
      <c r="A53" s="9" t="s">
        <v>1411</v>
      </c>
      <c r="B53" s="9" t="s">
        <v>6</v>
      </c>
      <c r="C53" s="9" t="s">
        <v>7</v>
      </c>
      <c r="D53" s="9" t="str">
        <f>B53&amp;" - "&amp;C53</f>
        <v>Input - Material</v>
      </c>
      <c r="F53" s="9" t="s">
        <v>8</v>
      </c>
      <c r="G53" s="9" t="s">
        <v>1197</v>
      </c>
      <c r="H53" s="9" t="str">
        <f>IF(E53="x","Economic - "&amp;G53,"Environmental - "&amp;G53)</f>
        <v>Environmental - Resource Use &amp; Circular Economy</v>
      </c>
      <c r="I53" s="12" t="s">
        <v>149</v>
      </c>
      <c r="J53" s="9" t="s">
        <v>150</v>
      </c>
      <c r="K53" s="9" t="s">
        <v>10</v>
      </c>
      <c r="L53" s="9" t="s">
        <v>11</v>
      </c>
      <c r="M53" s="9" t="s">
        <v>12</v>
      </c>
      <c r="N53" s="9">
        <f>LEN(O53) - LEN(SUBSTITUTE(O53, ";", ""))+1</f>
        <v>3</v>
      </c>
      <c r="O53" s="9" t="s">
        <v>1212</v>
      </c>
      <c r="P53" s="9" t="s">
        <v>14</v>
      </c>
      <c r="Q53" s="9" t="s">
        <v>1303</v>
      </c>
      <c r="R53" s="9" t="s">
        <v>1304</v>
      </c>
      <c r="S53" s="9" t="s">
        <v>17</v>
      </c>
      <c r="W53" s="23"/>
    </row>
    <row r="54" spans="1:23" ht="51.5" customHeight="1" x14ac:dyDescent="0.35">
      <c r="A54" s="9" t="s">
        <v>1412</v>
      </c>
      <c r="B54" s="9" t="s">
        <v>6</v>
      </c>
      <c r="C54" s="9" t="s">
        <v>7</v>
      </c>
      <c r="D54" s="9" t="str">
        <f>B54&amp;" - "&amp;C54</f>
        <v>Input - Material</v>
      </c>
      <c r="F54" s="9" t="s">
        <v>8</v>
      </c>
      <c r="G54" s="9" t="s">
        <v>1197</v>
      </c>
      <c r="H54" s="9" t="str">
        <f>IF(E54="x","Economic - "&amp;G54,"Environmental - "&amp;G54)</f>
        <v>Environmental - Resource Use &amp; Circular Economy</v>
      </c>
      <c r="I54" s="12" t="s">
        <v>151</v>
      </c>
      <c r="J54" s="9" t="s">
        <v>1235</v>
      </c>
      <c r="K54" s="9" t="s">
        <v>10</v>
      </c>
      <c r="L54" s="9" t="s">
        <v>1221</v>
      </c>
      <c r="M54" s="9" t="s">
        <v>468</v>
      </c>
      <c r="N54" s="9">
        <f>LEN(O54) - LEN(SUBSTITUTE(O54, ";", ""))+1</f>
        <v>2</v>
      </c>
      <c r="O54" s="9" t="s">
        <v>152</v>
      </c>
      <c r="P54" s="9" t="s">
        <v>56</v>
      </c>
      <c r="Q54" s="9" t="s">
        <v>1298</v>
      </c>
      <c r="R54" s="9" t="s">
        <v>1297</v>
      </c>
      <c r="S54" s="9" t="s">
        <v>1820</v>
      </c>
      <c r="W54" s="23"/>
    </row>
    <row r="55" spans="1:23" ht="51.5" customHeight="1" x14ac:dyDescent="0.35">
      <c r="A55" s="9" t="s">
        <v>1413</v>
      </c>
      <c r="B55" s="9" t="s">
        <v>6</v>
      </c>
      <c r="C55" s="9" t="s">
        <v>7</v>
      </c>
      <c r="D55" s="9" t="str">
        <f>B55&amp;" - "&amp;C55</f>
        <v>Input - Material</v>
      </c>
      <c r="F55" s="9" t="s">
        <v>8</v>
      </c>
      <c r="G55" s="9" t="s">
        <v>1197</v>
      </c>
      <c r="H55" s="9" t="str">
        <f>IF(E55="x","Economic - "&amp;G55,"Environmental - "&amp;G55)</f>
        <v>Environmental - Resource Use &amp; Circular Economy</v>
      </c>
      <c r="I55" s="12" t="s">
        <v>153</v>
      </c>
      <c r="J55" s="9" t="s">
        <v>154</v>
      </c>
      <c r="K55" s="9" t="s">
        <v>10</v>
      </c>
      <c r="L55" s="9" t="s">
        <v>11</v>
      </c>
      <c r="M55" s="9" t="s">
        <v>12</v>
      </c>
      <c r="N55" s="9">
        <f>LEN(O55) - LEN(SUBSTITUTE(O55, ";", ""))+1</f>
        <v>4</v>
      </c>
      <c r="O55" s="9" t="s">
        <v>1994</v>
      </c>
      <c r="P55" s="9" t="s">
        <v>14</v>
      </c>
      <c r="Q55" s="9" t="s">
        <v>1303</v>
      </c>
      <c r="R55" s="9" t="s">
        <v>1304</v>
      </c>
      <c r="S55" s="9" t="s">
        <v>17</v>
      </c>
      <c r="W55" s="23"/>
    </row>
    <row r="56" spans="1:23" ht="51.5" customHeight="1" x14ac:dyDescent="0.35">
      <c r="A56" s="9" t="s">
        <v>1414</v>
      </c>
      <c r="B56" s="9" t="s">
        <v>6</v>
      </c>
      <c r="C56" s="9" t="s">
        <v>7</v>
      </c>
      <c r="D56" s="9" t="str">
        <f>B56&amp;" - "&amp;C56</f>
        <v>Input - Material</v>
      </c>
      <c r="F56" s="9" t="s">
        <v>8</v>
      </c>
      <c r="G56" s="9" t="s">
        <v>1197</v>
      </c>
      <c r="H56" s="9" t="str">
        <f>IF(E56="x","Economic - "&amp;G56,"Environmental - "&amp;G56)</f>
        <v>Environmental - Resource Use &amp; Circular Economy</v>
      </c>
      <c r="I56" s="12" t="s">
        <v>155</v>
      </c>
      <c r="J56" s="9" t="s">
        <v>156</v>
      </c>
      <c r="K56" s="9" t="s">
        <v>10</v>
      </c>
      <c r="L56" s="9" t="s">
        <v>16</v>
      </c>
      <c r="M56" s="9" t="s">
        <v>468</v>
      </c>
      <c r="N56" s="9">
        <f>LEN(O56) - LEN(SUBSTITUTE(O56, ";", ""))+1</f>
        <v>1</v>
      </c>
      <c r="O56" s="9" t="s">
        <v>115</v>
      </c>
      <c r="P56" s="9" t="s">
        <v>116</v>
      </c>
      <c r="Q56" s="9" t="s">
        <v>117</v>
      </c>
      <c r="R56" s="9" t="s">
        <v>118</v>
      </c>
      <c r="S56" s="9" t="s">
        <v>17</v>
      </c>
      <c r="W56" s="23"/>
    </row>
    <row r="57" spans="1:23" ht="51.5" customHeight="1" x14ac:dyDescent="0.35">
      <c r="A57" s="9" t="s">
        <v>1415</v>
      </c>
      <c r="B57" s="9" t="s">
        <v>6</v>
      </c>
      <c r="C57" s="9" t="s">
        <v>7</v>
      </c>
      <c r="D57" s="9" t="str">
        <f>B57&amp;" - "&amp;C57</f>
        <v>Input - Material</v>
      </c>
      <c r="F57" s="9" t="s">
        <v>8</v>
      </c>
      <c r="G57" s="9" t="s">
        <v>1197</v>
      </c>
      <c r="H57" s="9" t="str">
        <f>IF(E57="x","Economic - "&amp;G57,"Environmental - "&amp;G57)</f>
        <v>Environmental - Resource Use &amp; Circular Economy</v>
      </c>
      <c r="I57" s="12" t="s">
        <v>157</v>
      </c>
      <c r="J57" s="9" t="s">
        <v>158</v>
      </c>
      <c r="K57" s="9" t="s">
        <v>10</v>
      </c>
      <c r="L57" s="9" t="s">
        <v>16</v>
      </c>
      <c r="M57" s="9" t="s">
        <v>468</v>
      </c>
      <c r="N57" s="9">
        <f>LEN(O57) - LEN(SUBSTITUTE(O57, ";", ""))+1</f>
        <v>4</v>
      </c>
      <c r="O57" s="9" t="s">
        <v>1903</v>
      </c>
      <c r="P57" s="9" t="s">
        <v>13</v>
      </c>
      <c r="Q57" s="9" t="s">
        <v>1305</v>
      </c>
      <c r="R57" s="9" t="s">
        <v>1306</v>
      </c>
      <c r="S57" s="9" t="s">
        <v>1823</v>
      </c>
      <c r="W57" s="23"/>
    </row>
    <row r="58" spans="1:23" ht="51.5" customHeight="1" x14ac:dyDescent="0.35">
      <c r="A58" s="9" t="s">
        <v>1416</v>
      </c>
      <c r="B58" s="9" t="s">
        <v>6</v>
      </c>
      <c r="C58" s="9" t="s">
        <v>7</v>
      </c>
      <c r="D58" s="9" t="str">
        <f>B58&amp;" - "&amp;C58</f>
        <v>Input - Material</v>
      </c>
      <c r="E58" s="9" t="s">
        <v>8</v>
      </c>
      <c r="G58" s="9" t="s">
        <v>1086</v>
      </c>
      <c r="H58" s="9" t="str">
        <f>IF(E58="x","Economic - "&amp;G58,"Environmental - "&amp;G58)</f>
        <v>Economic - Cost</v>
      </c>
      <c r="I58" s="12" t="s">
        <v>159</v>
      </c>
      <c r="J58" s="9" t="s">
        <v>160</v>
      </c>
      <c r="K58" s="9" t="s">
        <v>10</v>
      </c>
      <c r="L58" s="9" t="s">
        <v>19</v>
      </c>
      <c r="M58" s="9" t="s">
        <v>468</v>
      </c>
      <c r="N58" s="9">
        <f>LEN(O58) - LEN(SUBSTITUTE(O58, ";", ""))+1</f>
        <v>1</v>
      </c>
      <c r="O58" s="9" t="s">
        <v>123</v>
      </c>
      <c r="P58" s="9" t="s">
        <v>116</v>
      </c>
      <c r="Q58" s="9" t="s">
        <v>124</v>
      </c>
      <c r="R58" s="9" t="s">
        <v>125</v>
      </c>
      <c r="S58" s="9" t="s">
        <v>17</v>
      </c>
      <c r="W58" s="23"/>
    </row>
    <row r="59" spans="1:23" ht="51.5" customHeight="1" x14ac:dyDescent="0.35">
      <c r="A59" s="9" t="s">
        <v>1417</v>
      </c>
      <c r="B59" s="9" t="s">
        <v>6</v>
      </c>
      <c r="C59" s="9" t="s">
        <v>7</v>
      </c>
      <c r="D59" s="9" t="str">
        <f>B59&amp;" - "&amp;C59</f>
        <v>Input - Material</v>
      </c>
      <c r="F59" s="9" t="s">
        <v>8</v>
      </c>
      <c r="G59" s="9" t="s">
        <v>1197</v>
      </c>
      <c r="H59" s="9" t="str">
        <f>IF(E59="x","Economic - "&amp;G59,"Environmental - "&amp;G59)</f>
        <v>Environmental - Resource Use &amp; Circular Economy</v>
      </c>
      <c r="I59" s="12" t="s">
        <v>161</v>
      </c>
      <c r="J59" s="9" t="s">
        <v>162</v>
      </c>
      <c r="K59" s="9" t="s">
        <v>10</v>
      </c>
      <c r="L59" s="9" t="s">
        <v>11</v>
      </c>
      <c r="M59" s="9" t="s">
        <v>468</v>
      </c>
      <c r="N59" s="9">
        <f>LEN(O59) - LEN(SUBSTITUTE(O59, ";", ""))+1</f>
        <v>4</v>
      </c>
      <c r="O59" s="9" t="s">
        <v>1960</v>
      </c>
      <c r="P59" s="9" t="s">
        <v>39</v>
      </c>
      <c r="Q59" s="9" t="s">
        <v>1307</v>
      </c>
      <c r="R59" s="9" t="s">
        <v>17</v>
      </c>
      <c r="S59" s="9" t="s">
        <v>1823</v>
      </c>
      <c r="W59" s="23"/>
    </row>
    <row r="60" spans="1:23" ht="51.5" customHeight="1" x14ac:dyDescent="0.35">
      <c r="A60" s="9" t="s">
        <v>1418</v>
      </c>
      <c r="B60" s="9" t="s">
        <v>6</v>
      </c>
      <c r="C60" s="9" t="s">
        <v>7</v>
      </c>
      <c r="D60" s="9" t="str">
        <f>B60&amp;" - "&amp;C60</f>
        <v>Input - Material</v>
      </c>
      <c r="F60" s="9" t="s">
        <v>8</v>
      </c>
      <c r="G60" s="9" t="s">
        <v>1197</v>
      </c>
      <c r="H60" s="9" t="str">
        <f>IF(E60="x","Economic - "&amp;G60,"Environmental - "&amp;G60)</f>
        <v>Environmental - Resource Use &amp; Circular Economy</v>
      </c>
      <c r="I60" s="12" t="s">
        <v>163</v>
      </c>
      <c r="J60" s="9" t="s">
        <v>164</v>
      </c>
      <c r="K60" s="9" t="s">
        <v>10</v>
      </c>
      <c r="L60" s="9" t="s">
        <v>11</v>
      </c>
      <c r="M60" s="9" t="s">
        <v>468</v>
      </c>
      <c r="N60" s="9">
        <f>LEN(O60) - LEN(SUBSTITUTE(O60, ";", ""))+1</f>
        <v>6</v>
      </c>
      <c r="O60" s="9" t="s">
        <v>1952</v>
      </c>
      <c r="P60" s="9" t="s">
        <v>74</v>
      </c>
      <c r="Q60" s="9" t="s">
        <v>2098</v>
      </c>
      <c r="R60" s="9" t="s">
        <v>17</v>
      </c>
      <c r="S60" s="9" t="s">
        <v>1826</v>
      </c>
      <c r="W60" s="23"/>
    </row>
    <row r="61" spans="1:23" ht="51.5" customHeight="1" x14ac:dyDescent="0.35">
      <c r="A61" s="9" t="s">
        <v>1419</v>
      </c>
      <c r="B61" s="9" t="s">
        <v>6</v>
      </c>
      <c r="C61" s="9" t="s">
        <v>7</v>
      </c>
      <c r="D61" s="9" t="str">
        <f>B61&amp;" - "&amp;C61</f>
        <v>Input - Material</v>
      </c>
      <c r="F61" s="9" t="s">
        <v>8</v>
      </c>
      <c r="G61" s="9" t="s">
        <v>1197</v>
      </c>
      <c r="H61" s="9" t="str">
        <f>IF(E61="x","Economic - "&amp;G61,"Environmental - "&amp;G61)</f>
        <v>Environmental - Resource Use &amp; Circular Economy</v>
      </c>
      <c r="I61" s="12" t="s">
        <v>166</v>
      </c>
      <c r="J61" s="9" t="s">
        <v>1277</v>
      </c>
      <c r="K61" s="9" t="s">
        <v>10</v>
      </c>
      <c r="L61" s="9" t="s">
        <v>1278</v>
      </c>
      <c r="M61" s="9" t="s">
        <v>468</v>
      </c>
      <c r="N61" s="9">
        <f>LEN(O61) - LEN(SUBSTITUTE(O61, ";", ""))+1</f>
        <v>1</v>
      </c>
      <c r="O61" s="9" t="s">
        <v>1043</v>
      </c>
      <c r="P61" s="9" t="s">
        <v>39</v>
      </c>
      <c r="Q61" s="9" t="s">
        <v>17</v>
      </c>
      <c r="R61" s="9" t="s">
        <v>17</v>
      </c>
      <c r="S61" s="9" t="s">
        <v>1821</v>
      </c>
      <c r="W61" s="23"/>
    </row>
    <row r="62" spans="1:23" ht="51.5" customHeight="1" x14ac:dyDescent="0.35">
      <c r="A62" s="9" t="s">
        <v>1420</v>
      </c>
      <c r="B62" s="9" t="s">
        <v>6</v>
      </c>
      <c r="C62" s="9" t="s">
        <v>7</v>
      </c>
      <c r="D62" s="9" t="str">
        <f>B62&amp;" - "&amp;C62</f>
        <v>Input - Material</v>
      </c>
      <c r="F62" s="9" t="s">
        <v>8</v>
      </c>
      <c r="G62" s="9" t="s">
        <v>1197</v>
      </c>
      <c r="H62" s="9" t="str">
        <f>IF(E62="x","Economic - "&amp;G62,"Environmental - "&amp;G62)</f>
        <v>Environmental - Resource Use &amp; Circular Economy</v>
      </c>
      <c r="I62" s="12" t="s">
        <v>168</v>
      </c>
      <c r="J62" s="9" t="s">
        <v>169</v>
      </c>
      <c r="K62" s="9" t="s">
        <v>10</v>
      </c>
      <c r="L62" s="9" t="s">
        <v>16</v>
      </c>
      <c r="M62" s="9" t="s">
        <v>170</v>
      </c>
      <c r="N62" s="9">
        <f>LEN(O62) - LEN(SUBSTITUTE(O62, ";", ""))+1</f>
        <v>6</v>
      </c>
      <c r="O62" s="9" t="s">
        <v>1926</v>
      </c>
      <c r="P62" s="9" t="s">
        <v>39</v>
      </c>
      <c r="Q62" s="9" t="s">
        <v>1308</v>
      </c>
      <c r="R62" s="9" t="s">
        <v>1284</v>
      </c>
      <c r="S62" s="9" t="s">
        <v>1827</v>
      </c>
      <c r="W62" s="23"/>
    </row>
    <row r="63" spans="1:23" ht="51.5" customHeight="1" x14ac:dyDescent="0.35">
      <c r="A63" s="9" t="s">
        <v>1421</v>
      </c>
      <c r="B63" s="9" t="s">
        <v>6</v>
      </c>
      <c r="C63" s="9" t="s">
        <v>7</v>
      </c>
      <c r="D63" s="9" t="str">
        <f>B63&amp;" - "&amp;C63</f>
        <v>Input - Material</v>
      </c>
      <c r="F63" s="9" t="s">
        <v>8</v>
      </c>
      <c r="G63" s="9" t="s">
        <v>1197</v>
      </c>
      <c r="H63" s="9" t="str">
        <f>IF(E63="x","Economic - "&amp;G63,"Environmental - "&amp;G63)</f>
        <v>Environmental - Resource Use &amp; Circular Economy</v>
      </c>
      <c r="I63" s="12" t="s">
        <v>171</v>
      </c>
      <c r="J63" s="9" t="s">
        <v>172</v>
      </c>
      <c r="K63" s="9" t="s">
        <v>10</v>
      </c>
      <c r="L63" s="9" t="s">
        <v>11</v>
      </c>
      <c r="M63" s="9" t="s">
        <v>468</v>
      </c>
      <c r="N63" s="9">
        <f>LEN(O63) - LEN(SUBSTITUTE(O63, ";", ""))+1</f>
        <v>4</v>
      </c>
      <c r="O63" s="9" t="s">
        <v>1924</v>
      </c>
      <c r="P63" s="9" t="s">
        <v>39</v>
      </c>
      <c r="Q63" s="9" t="s">
        <v>1307</v>
      </c>
      <c r="R63" s="9" t="s">
        <v>17</v>
      </c>
      <c r="S63" s="9" t="s">
        <v>1823</v>
      </c>
      <c r="W63" s="23"/>
    </row>
    <row r="64" spans="1:23" ht="51.5" customHeight="1" x14ac:dyDescent="0.35">
      <c r="A64" s="9" t="s">
        <v>1422</v>
      </c>
      <c r="B64" s="9" t="s">
        <v>6</v>
      </c>
      <c r="C64" s="9" t="s">
        <v>7</v>
      </c>
      <c r="D64" s="9" t="str">
        <f>B64&amp;" - "&amp;C64</f>
        <v>Input - Material</v>
      </c>
      <c r="F64" s="9" t="s">
        <v>8</v>
      </c>
      <c r="G64" s="9" t="s">
        <v>1197</v>
      </c>
      <c r="H64" s="9" t="str">
        <f>IF(E64="x","Economic - "&amp;G64,"Environmental - "&amp;G64)</f>
        <v>Environmental - Resource Use &amp; Circular Economy</v>
      </c>
      <c r="I64" s="12" t="s">
        <v>173</v>
      </c>
      <c r="J64" s="9" t="s">
        <v>174</v>
      </c>
      <c r="K64" s="9" t="s">
        <v>10</v>
      </c>
      <c r="L64" s="9" t="s">
        <v>1278</v>
      </c>
      <c r="M64" s="9" t="s">
        <v>468</v>
      </c>
      <c r="N64" s="9">
        <f>LEN(O64) - LEN(SUBSTITUTE(O64, ";", ""))+1</f>
        <v>1</v>
      </c>
      <c r="O64" s="9" t="s">
        <v>1043</v>
      </c>
      <c r="P64" s="9" t="s">
        <v>39</v>
      </c>
      <c r="Q64" s="9" t="s">
        <v>17</v>
      </c>
      <c r="R64" s="9" t="s">
        <v>17</v>
      </c>
      <c r="S64" s="9" t="s">
        <v>1821</v>
      </c>
      <c r="W64" s="23"/>
    </row>
    <row r="65" spans="1:23" ht="51.5" customHeight="1" x14ac:dyDescent="0.35">
      <c r="A65" s="9" t="s">
        <v>1423</v>
      </c>
      <c r="B65" s="9" t="s">
        <v>6</v>
      </c>
      <c r="C65" s="9" t="s">
        <v>7</v>
      </c>
      <c r="D65" s="9" t="str">
        <f>B65&amp;" - "&amp;C65</f>
        <v>Input - Material</v>
      </c>
      <c r="F65" s="9" t="s">
        <v>8</v>
      </c>
      <c r="G65" s="9" t="s">
        <v>1197</v>
      </c>
      <c r="H65" s="9" t="str">
        <f>IF(E65="x","Economic - "&amp;G65,"Environmental - "&amp;G65)</f>
        <v>Environmental - Resource Use &amp; Circular Economy</v>
      </c>
      <c r="I65" s="12" t="s">
        <v>175</v>
      </c>
      <c r="J65" s="9" t="s">
        <v>176</v>
      </c>
      <c r="K65" s="9" t="s">
        <v>10</v>
      </c>
      <c r="L65" s="9" t="s">
        <v>11</v>
      </c>
      <c r="M65" s="9" t="s">
        <v>468</v>
      </c>
      <c r="N65" s="9">
        <f>LEN(O65) - LEN(SUBSTITUTE(O65, ";", ""))+1</f>
        <v>1</v>
      </c>
      <c r="O65" s="9" t="s">
        <v>177</v>
      </c>
      <c r="P65" s="9" t="s">
        <v>74</v>
      </c>
      <c r="Q65" s="9" t="s">
        <v>17</v>
      </c>
      <c r="R65" s="9" t="s">
        <v>17</v>
      </c>
      <c r="S65" s="9" t="s">
        <v>17</v>
      </c>
      <c r="W65" s="23"/>
    </row>
    <row r="66" spans="1:23" ht="51.5" customHeight="1" x14ac:dyDescent="0.35">
      <c r="A66" s="9" t="s">
        <v>1424</v>
      </c>
      <c r="B66" s="9" t="s">
        <v>6</v>
      </c>
      <c r="C66" s="9" t="s">
        <v>7</v>
      </c>
      <c r="D66" s="9" t="str">
        <f>B66&amp;" - "&amp;C66</f>
        <v>Input - Material</v>
      </c>
      <c r="F66" s="9" t="s">
        <v>8</v>
      </c>
      <c r="G66" s="9" t="s">
        <v>1197</v>
      </c>
      <c r="H66" s="9" t="str">
        <f>IF(E66="x","Economic - "&amp;G66,"Environmental - "&amp;G66)</f>
        <v>Environmental - Resource Use &amp; Circular Economy</v>
      </c>
      <c r="I66" s="12" t="s">
        <v>178</v>
      </c>
      <c r="J66" s="9" t="s">
        <v>179</v>
      </c>
      <c r="K66" s="9" t="s">
        <v>10</v>
      </c>
      <c r="L66" s="9" t="s">
        <v>16</v>
      </c>
      <c r="M66" s="9" t="s">
        <v>468</v>
      </c>
      <c r="N66" s="9">
        <f>LEN(O66) - LEN(SUBSTITUTE(O66, ";", ""))+1</f>
        <v>2</v>
      </c>
      <c r="O66" s="9" t="s">
        <v>180</v>
      </c>
      <c r="P66" s="9" t="s">
        <v>84</v>
      </c>
      <c r="Q66" s="9" t="s">
        <v>1309</v>
      </c>
      <c r="R66" s="9" t="s">
        <v>1292</v>
      </c>
      <c r="S66" s="9" t="s">
        <v>17</v>
      </c>
      <c r="W66" s="23"/>
    </row>
    <row r="67" spans="1:23" ht="51.5" customHeight="1" x14ac:dyDescent="0.35">
      <c r="A67" s="9" t="s">
        <v>1425</v>
      </c>
      <c r="B67" s="9" t="s">
        <v>6</v>
      </c>
      <c r="C67" s="9" t="s">
        <v>7</v>
      </c>
      <c r="D67" s="9" t="str">
        <f>B67&amp;" - "&amp;C67</f>
        <v>Input - Material</v>
      </c>
      <c r="F67" s="9" t="s">
        <v>8</v>
      </c>
      <c r="G67" s="9" t="s">
        <v>1197</v>
      </c>
      <c r="H67" s="9" t="str">
        <f>IF(E67="x","Economic - "&amp;G67,"Environmental - "&amp;G67)</f>
        <v>Environmental - Resource Use &amp; Circular Economy</v>
      </c>
      <c r="I67" s="12" t="s">
        <v>181</v>
      </c>
      <c r="J67" s="9" t="s">
        <v>182</v>
      </c>
      <c r="K67" s="9" t="s">
        <v>10</v>
      </c>
      <c r="L67" s="9" t="s">
        <v>11</v>
      </c>
      <c r="M67" s="9" t="s">
        <v>468</v>
      </c>
      <c r="N67" s="9">
        <f>LEN(O67) - LEN(SUBSTITUTE(O67, ";", ""))+1</f>
        <v>2</v>
      </c>
      <c r="O67" s="9" t="s">
        <v>183</v>
      </c>
      <c r="P67" s="9" t="s">
        <v>39</v>
      </c>
      <c r="Q67" s="9" t="s">
        <v>17</v>
      </c>
      <c r="R67" s="9" t="s">
        <v>17</v>
      </c>
      <c r="S67" s="9" t="s">
        <v>17</v>
      </c>
      <c r="W67" s="23"/>
    </row>
    <row r="68" spans="1:23" ht="51.5" customHeight="1" x14ac:dyDescent="0.35">
      <c r="A68" s="9" t="s">
        <v>1426</v>
      </c>
      <c r="B68" s="9" t="s">
        <v>6</v>
      </c>
      <c r="C68" s="9" t="s">
        <v>7</v>
      </c>
      <c r="D68" s="9" t="str">
        <f>B68&amp;" - "&amp;C68</f>
        <v>Input - Material</v>
      </c>
      <c r="F68" s="9" t="s">
        <v>8</v>
      </c>
      <c r="G68" s="9" t="s">
        <v>1197</v>
      </c>
      <c r="H68" s="9" t="str">
        <f>IF(E68="x","Economic - "&amp;G68,"Environmental - "&amp;G68)</f>
        <v>Environmental - Resource Use &amp; Circular Economy</v>
      </c>
      <c r="I68" s="12" t="s">
        <v>184</v>
      </c>
      <c r="J68" s="9" t="s">
        <v>185</v>
      </c>
      <c r="K68" s="9" t="s">
        <v>10</v>
      </c>
      <c r="L68" s="9" t="s">
        <v>11</v>
      </c>
      <c r="M68" s="9" t="s">
        <v>468</v>
      </c>
      <c r="N68" s="9">
        <f>LEN(O68) - LEN(SUBSTITUTE(O68, ";", ""))+1</f>
        <v>7</v>
      </c>
      <c r="O68" s="9" t="s">
        <v>2018</v>
      </c>
      <c r="P68" s="9" t="s">
        <v>39</v>
      </c>
      <c r="Q68" s="9" t="s">
        <v>2099</v>
      </c>
      <c r="R68" s="9" t="s">
        <v>17</v>
      </c>
      <c r="S68" s="9" t="s">
        <v>1823</v>
      </c>
      <c r="W68" s="23"/>
    </row>
    <row r="69" spans="1:23" ht="51.5" customHeight="1" x14ac:dyDescent="0.35">
      <c r="A69" s="9" t="s">
        <v>1427</v>
      </c>
      <c r="B69" s="9" t="s">
        <v>6</v>
      </c>
      <c r="C69" s="9" t="s">
        <v>7</v>
      </c>
      <c r="D69" s="9" t="str">
        <f>B69&amp;" - "&amp;C69</f>
        <v>Input - Material</v>
      </c>
      <c r="F69" s="9" t="s">
        <v>8</v>
      </c>
      <c r="G69" s="9" t="s">
        <v>1197</v>
      </c>
      <c r="H69" s="9" t="str">
        <f>IF(E69="x","Economic - "&amp;G69,"Environmental - "&amp;G69)</f>
        <v>Environmental - Resource Use &amp; Circular Economy</v>
      </c>
      <c r="I69" s="12" t="s">
        <v>186</v>
      </c>
      <c r="J69" s="9" t="s">
        <v>187</v>
      </c>
      <c r="K69" s="9" t="s">
        <v>10</v>
      </c>
      <c r="L69" s="9" t="s">
        <v>1278</v>
      </c>
      <c r="M69" s="9" t="s">
        <v>468</v>
      </c>
      <c r="N69" s="9">
        <f>LEN(O69) - LEN(SUBSTITUTE(O69, ";", ""))+1</f>
        <v>1</v>
      </c>
      <c r="O69" s="9" t="s">
        <v>1069</v>
      </c>
      <c r="P69" s="9" t="s">
        <v>84</v>
      </c>
      <c r="Q69" s="9" t="s">
        <v>124</v>
      </c>
      <c r="R69" s="9" t="s">
        <v>1311</v>
      </c>
      <c r="S69" s="9" t="s">
        <v>17</v>
      </c>
      <c r="W69" s="23"/>
    </row>
    <row r="70" spans="1:23" ht="51.5" customHeight="1" x14ac:dyDescent="0.35">
      <c r="A70" s="9" t="s">
        <v>1428</v>
      </c>
      <c r="B70" s="9" t="s">
        <v>6</v>
      </c>
      <c r="C70" s="9" t="s">
        <v>7</v>
      </c>
      <c r="D70" s="9" t="str">
        <f>B70&amp;" - "&amp;C70</f>
        <v>Input - Material</v>
      </c>
      <c r="F70" s="9" t="s">
        <v>8</v>
      </c>
      <c r="G70" s="9" t="s">
        <v>1197</v>
      </c>
      <c r="H70" s="9" t="str">
        <f>IF(E70="x","Economic - "&amp;G70,"Environmental - "&amp;G70)</f>
        <v>Environmental - Resource Use &amp; Circular Economy</v>
      </c>
      <c r="I70" s="12" t="s">
        <v>188</v>
      </c>
      <c r="J70" s="9" t="s">
        <v>189</v>
      </c>
      <c r="K70" s="9" t="s">
        <v>10</v>
      </c>
      <c r="L70" s="9" t="s">
        <v>16</v>
      </c>
      <c r="M70" s="9" t="s">
        <v>468</v>
      </c>
      <c r="N70" s="9">
        <f>LEN(O70) - LEN(SUBSTITUTE(O70, ";", ""))+1</f>
        <v>5</v>
      </c>
      <c r="O70" s="9" t="s">
        <v>1920</v>
      </c>
      <c r="P70" s="9" t="s">
        <v>14</v>
      </c>
      <c r="Q70" s="9" t="s">
        <v>2100</v>
      </c>
      <c r="R70" s="9" t="s">
        <v>1284</v>
      </c>
      <c r="S70" s="9" t="s">
        <v>1820</v>
      </c>
      <c r="W70" s="23"/>
    </row>
    <row r="71" spans="1:23" ht="51.5" customHeight="1" x14ac:dyDescent="0.35">
      <c r="A71" s="9" t="s">
        <v>1429</v>
      </c>
      <c r="B71" s="9" t="s">
        <v>6</v>
      </c>
      <c r="C71" s="9" t="s">
        <v>7</v>
      </c>
      <c r="D71" s="9" t="str">
        <f>B71&amp;" - "&amp;C71</f>
        <v>Input - Material</v>
      </c>
      <c r="F71" s="9" t="s">
        <v>8</v>
      </c>
      <c r="G71" s="9" t="s">
        <v>1197</v>
      </c>
      <c r="H71" s="9" t="str">
        <f>IF(E71="x","Economic - "&amp;G71,"Environmental - "&amp;G71)</f>
        <v>Environmental - Resource Use &amp; Circular Economy</v>
      </c>
      <c r="I71" s="12" t="s">
        <v>190</v>
      </c>
      <c r="J71" s="9" t="s">
        <v>191</v>
      </c>
      <c r="K71" s="9" t="s">
        <v>10</v>
      </c>
      <c r="L71" s="9" t="s">
        <v>11</v>
      </c>
      <c r="M71" s="9" t="s">
        <v>468</v>
      </c>
      <c r="N71" s="9">
        <f>LEN(O71) - LEN(SUBSTITUTE(O71, ";", ""))+1</f>
        <v>2</v>
      </c>
      <c r="O71" s="9" t="s">
        <v>2051</v>
      </c>
      <c r="P71" s="9" t="s">
        <v>39</v>
      </c>
      <c r="Q71" s="9" t="s">
        <v>2101</v>
      </c>
      <c r="R71" s="9" t="s">
        <v>17</v>
      </c>
      <c r="S71" s="9" t="s">
        <v>17</v>
      </c>
      <c r="W71" s="23"/>
    </row>
    <row r="72" spans="1:23" ht="51.5" customHeight="1" x14ac:dyDescent="0.35">
      <c r="A72" s="9" t="s">
        <v>1430</v>
      </c>
      <c r="B72" s="9" t="s">
        <v>6</v>
      </c>
      <c r="C72" s="9" t="s">
        <v>7</v>
      </c>
      <c r="D72" s="9" t="str">
        <f>B72&amp;" - "&amp;C72</f>
        <v>Input - Material</v>
      </c>
      <c r="F72" s="9" t="s">
        <v>8</v>
      </c>
      <c r="G72" s="9" t="s">
        <v>1197</v>
      </c>
      <c r="H72" s="9" t="str">
        <f>IF(E72="x","Economic - "&amp;G72,"Environmental - "&amp;G72)</f>
        <v>Environmental - Resource Use &amp; Circular Economy</v>
      </c>
      <c r="I72" s="12" t="s">
        <v>195</v>
      </c>
      <c r="J72" s="9" t="s">
        <v>196</v>
      </c>
      <c r="K72" s="9" t="s">
        <v>10</v>
      </c>
      <c r="L72" s="9" t="s">
        <v>11</v>
      </c>
      <c r="M72" s="9" t="s">
        <v>468</v>
      </c>
      <c r="N72" s="9">
        <f>LEN(O72) - LEN(SUBSTITUTE(O72, ";", ""))+1</f>
        <v>2</v>
      </c>
      <c r="O72" s="9" t="s">
        <v>197</v>
      </c>
      <c r="P72" s="9" t="s">
        <v>74</v>
      </c>
      <c r="Q72" s="9" t="s">
        <v>2102</v>
      </c>
      <c r="R72" s="9" t="s">
        <v>17</v>
      </c>
      <c r="S72" s="9" t="s">
        <v>1826</v>
      </c>
      <c r="W72" s="23"/>
    </row>
    <row r="73" spans="1:23" ht="51.5" customHeight="1" x14ac:dyDescent="0.35">
      <c r="A73" s="9" t="s">
        <v>1431</v>
      </c>
      <c r="B73" s="9" t="s">
        <v>6</v>
      </c>
      <c r="C73" s="9" t="s">
        <v>7</v>
      </c>
      <c r="D73" s="9" t="str">
        <f>B73&amp;" - "&amp;C73</f>
        <v>Input - Material</v>
      </c>
      <c r="F73" s="9" t="s">
        <v>8</v>
      </c>
      <c r="G73" s="9" t="s">
        <v>1197</v>
      </c>
      <c r="H73" s="9" t="str">
        <f>IF(E73="x","Economic - "&amp;G73,"Environmental - "&amp;G73)</f>
        <v>Environmental - Resource Use &amp; Circular Economy</v>
      </c>
      <c r="I73" s="12" t="s">
        <v>198</v>
      </c>
      <c r="J73" s="9" t="s">
        <v>199</v>
      </c>
      <c r="K73" s="9" t="s">
        <v>10</v>
      </c>
      <c r="L73" s="9" t="s">
        <v>11</v>
      </c>
      <c r="M73" s="9" t="s">
        <v>468</v>
      </c>
      <c r="N73" s="9">
        <f>LEN(O73) - LEN(SUBSTITUTE(O73, ";", ""))+1</f>
        <v>1</v>
      </c>
      <c r="O73" s="9" t="s">
        <v>200</v>
      </c>
      <c r="P73" s="9" t="s">
        <v>39</v>
      </c>
      <c r="Q73" s="9" t="s">
        <v>17</v>
      </c>
      <c r="R73" s="9" t="s">
        <v>17</v>
      </c>
      <c r="S73" s="9" t="s">
        <v>17</v>
      </c>
      <c r="W73" s="23"/>
    </row>
    <row r="74" spans="1:23" ht="51.5" customHeight="1" x14ac:dyDescent="0.35">
      <c r="A74" s="9" t="s">
        <v>1432</v>
      </c>
      <c r="B74" s="9" t="s">
        <v>6</v>
      </c>
      <c r="C74" s="9" t="s">
        <v>7</v>
      </c>
      <c r="D74" s="9" t="str">
        <f>B74&amp;" - "&amp;C74</f>
        <v>Input - Material</v>
      </c>
      <c r="F74" s="9" t="s">
        <v>8</v>
      </c>
      <c r="G74" s="9" t="s">
        <v>1197</v>
      </c>
      <c r="H74" s="9" t="str">
        <f>IF(E74="x","Economic - "&amp;G74,"Environmental - "&amp;G74)</f>
        <v>Environmental - Resource Use &amp; Circular Economy</v>
      </c>
      <c r="I74" s="12" t="s">
        <v>201</v>
      </c>
      <c r="J74" s="9" t="s">
        <v>202</v>
      </c>
      <c r="K74" s="9" t="s">
        <v>10</v>
      </c>
      <c r="L74" s="9" t="s">
        <v>295</v>
      </c>
      <c r="M74" s="9" t="s">
        <v>468</v>
      </c>
      <c r="N74" s="9">
        <f>LEN(O74) - LEN(SUBSTITUTE(O74, ";", ""))+1</f>
        <v>1</v>
      </c>
      <c r="O74" s="9" t="s">
        <v>38</v>
      </c>
      <c r="P74" s="9" t="s">
        <v>39</v>
      </c>
      <c r="Q74" s="9" t="s">
        <v>40</v>
      </c>
      <c r="R74" s="9" t="s">
        <v>17</v>
      </c>
      <c r="S74" s="9" t="s">
        <v>1825</v>
      </c>
      <c r="W74" s="23"/>
    </row>
    <row r="75" spans="1:23" ht="51.5" customHeight="1" x14ac:dyDescent="0.35">
      <c r="A75" s="9" t="s">
        <v>1433</v>
      </c>
      <c r="B75" s="9" t="s">
        <v>6</v>
      </c>
      <c r="C75" s="9" t="s">
        <v>7</v>
      </c>
      <c r="D75" s="9" t="str">
        <f>B75&amp;" - "&amp;C75</f>
        <v>Input - Material</v>
      </c>
      <c r="F75" s="9" t="s">
        <v>8</v>
      </c>
      <c r="G75" s="9" t="s">
        <v>1197</v>
      </c>
      <c r="H75" s="9" t="str">
        <f>IF(E75="x","Economic - "&amp;G75,"Environmental - "&amp;G75)</f>
        <v>Environmental - Resource Use &amp; Circular Economy</v>
      </c>
      <c r="I75" s="12" t="s">
        <v>203</v>
      </c>
      <c r="J75" s="9" t="s">
        <v>204</v>
      </c>
      <c r="K75" s="9" t="s">
        <v>10</v>
      </c>
      <c r="L75" s="9" t="s">
        <v>1279</v>
      </c>
      <c r="M75" s="9" t="s">
        <v>468</v>
      </c>
      <c r="N75" s="9">
        <f>LEN(O75) - LEN(SUBSTITUTE(O75, ";", ""))+1</f>
        <v>1</v>
      </c>
      <c r="O75" s="9" t="s">
        <v>1069</v>
      </c>
      <c r="P75" s="9" t="s">
        <v>84</v>
      </c>
      <c r="Q75" s="9" t="s">
        <v>124</v>
      </c>
      <c r="R75" s="9" t="s">
        <v>1311</v>
      </c>
      <c r="S75" s="9" t="s">
        <v>17</v>
      </c>
      <c r="W75" s="23"/>
    </row>
    <row r="76" spans="1:23" ht="51.5" customHeight="1" x14ac:dyDescent="0.35">
      <c r="A76" s="9" t="s">
        <v>1434</v>
      </c>
      <c r="B76" s="9" t="s">
        <v>6</v>
      </c>
      <c r="C76" s="9" t="s">
        <v>7</v>
      </c>
      <c r="D76" s="9" t="str">
        <f>B76&amp;" - "&amp;C76</f>
        <v>Input - Material</v>
      </c>
      <c r="F76" s="9" t="s">
        <v>8</v>
      </c>
      <c r="G76" s="9" t="s">
        <v>1197</v>
      </c>
      <c r="H76" s="9" t="str">
        <f>IF(E76="x","Economic - "&amp;G76,"Environmental - "&amp;G76)</f>
        <v>Environmental - Resource Use &amp; Circular Economy</v>
      </c>
      <c r="I76" s="12" t="s">
        <v>1270</v>
      </c>
      <c r="J76" s="9" t="s">
        <v>1269</v>
      </c>
      <c r="K76" s="9" t="s">
        <v>10</v>
      </c>
      <c r="L76" s="9" t="s">
        <v>57</v>
      </c>
      <c r="M76" s="9" t="s">
        <v>468</v>
      </c>
      <c r="N76" s="9">
        <f>LEN(O76) - LEN(SUBSTITUTE(O76, ";", ""))+1</f>
        <v>1</v>
      </c>
      <c r="O76" s="9" t="s">
        <v>58</v>
      </c>
      <c r="P76" s="9" t="s">
        <v>39</v>
      </c>
      <c r="Q76" s="9" t="s">
        <v>17</v>
      </c>
      <c r="R76" s="9" t="s">
        <v>17</v>
      </c>
      <c r="S76" s="9" t="s">
        <v>17</v>
      </c>
      <c r="W76" s="23"/>
    </row>
    <row r="77" spans="1:23" ht="51.5" customHeight="1" x14ac:dyDescent="0.35">
      <c r="A77" s="9" t="s">
        <v>1435</v>
      </c>
      <c r="B77" s="9" t="s">
        <v>6</v>
      </c>
      <c r="C77" s="9" t="s">
        <v>7</v>
      </c>
      <c r="D77" s="9" t="str">
        <f>B77&amp;" - "&amp;C77</f>
        <v>Input - Material</v>
      </c>
      <c r="F77" s="9" t="s">
        <v>8</v>
      </c>
      <c r="G77" s="9" t="s">
        <v>1088</v>
      </c>
      <c r="H77" s="9" t="str">
        <f>IF(E77="x","Economic - "&amp;G77,"Environmental - "&amp;G77)</f>
        <v>Environmental - Pollution</v>
      </c>
      <c r="I77" s="12" t="s">
        <v>205</v>
      </c>
      <c r="J77" s="9" t="s">
        <v>206</v>
      </c>
      <c r="K77" s="9" t="s">
        <v>10</v>
      </c>
      <c r="L77" s="9" t="s">
        <v>295</v>
      </c>
      <c r="M77" s="9" t="s">
        <v>468</v>
      </c>
      <c r="N77" s="9">
        <f>LEN(O77) - LEN(SUBSTITUTE(O77, ";", ""))+1</f>
        <v>1</v>
      </c>
      <c r="O77" s="9" t="s">
        <v>207</v>
      </c>
      <c r="P77" s="9" t="s">
        <v>39</v>
      </c>
      <c r="Q77" s="9" t="s">
        <v>17</v>
      </c>
      <c r="R77" s="9" t="s">
        <v>17</v>
      </c>
      <c r="S77" s="9" t="s">
        <v>17</v>
      </c>
      <c r="W77" s="23"/>
    </row>
    <row r="78" spans="1:23" ht="51.5" customHeight="1" x14ac:dyDescent="0.35">
      <c r="A78" s="9" t="s">
        <v>1436</v>
      </c>
      <c r="B78" s="9" t="s">
        <v>6</v>
      </c>
      <c r="C78" s="9" t="s">
        <v>7</v>
      </c>
      <c r="D78" s="9" t="str">
        <f>B78&amp;" - "&amp;C78</f>
        <v>Input - Material</v>
      </c>
      <c r="F78" s="9" t="s">
        <v>8</v>
      </c>
      <c r="G78" s="9" t="s">
        <v>1088</v>
      </c>
      <c r="H78" s="9" t="str">
        <f>IF(E78="x","Economic - "&amp;G78,"Environmental - "&amp;G78)</f>
        <v>Environmental - Pollution</v>
      </c>
      <c r="I78" s="12" t="s">
        <v>208</v>
      </c>
      <c r="J78" s="9" t="s">
        <v>209</v>
      </c>
      <c r="K78" s="9" t="s">
        <v>10</v>
      </c>
      <c r="L78" s="9" t="s">
        <v>295</v>
      </c>
      <c r="M78" s="9" t="s">
        <v>468</v>
      </c>
      <c r="N78" s="9">
        <f>LEN(O78) - LEN(SUBSTITUTE(O78, ";", ""))+1</f>
        <v>2</v>
      </c>
      <c r="O78" s="9" t="s">
        <v>210</v>
      </c>
      <c r="P78" s="9" t="s">
        <v>65</v>
      </c>
      <c r="Q78" s="9" t="s">
        <v>1312</v>
      </c>
      <c r="R78" s="9" t="s">
        <v>1304</v>
      </c>
      <c r="S78" s="9" t="s">
        <v>1820</v>
      </c>
      <c r="W78" s="23"/>
    </row>
    <row r="79" spans="1:23" ht="51.5" customHeight="1" x14ac:dyDescent="0.35">
      <c r="A79" s="9" t="s">
        <v>1437</v>
      </c>
      <c r="B79" s="9" t="s">
        <v>6</v>
      </c>
      <c r="C79" s="9" t="s">
        <v>7</v>
      </c>
      <c r="D79" s="9" t="str">
        <f>B79&amp;" - "&amp;C79</f>
        <v>Input - Material</v>
      </c>
      <c r="F79" s="9" t="s">
        <v>8</v>
      </c>
      <c r="G79" s="9" t="s">
        <v>1088</v>
      </c>
      <c r="H79" s="9" t="str">
        <f>IF(E79="x","Economic - "&amp;G79,"Environmental - "&amp;G79)</f>
        <v>Environmental - Pollution</v>
      </c>
      <c r="I79" s="12" t="s">
        <v>211</v>
      </c>
      <c r="J79" s="9" t="s">
        <v>2167</v>
      </c>
      <c r="K79" s="9" t="s">
        <v>10</v>
      </c>
      <c r="L79" s="9" t="s">
        <v>295</v>
      </c>
      <c r="M79" s="9" t="s">
        <v>468</v>
      </c>
      <c r="N79" s="9">
        <f>LEN(O79) - LEN(SUBSTITUTE(O79, ";", ""))+1</f>
        <v>4</v>
      </c>
      <c r="O79" s="9" t="s">
        <v>2019</v>
      </c>
      <c r="P79" s="9" t="s">
        <v>50</v>
      </c>
      <c r="Q79" s="9" t="s">
        <v>1348</v>
      </c>
      <c r="R79" s="9" t="s">
        <v>1286</v>
      </c>
      <c r="S79" s="9" t="s">
        <v>1823</v>
      </c>
      <c r="W79" s="23"/>
    </row>
    <row r="80" spans="1:23" ht="51.5" customHeight="1" x14ac:dyDescent="0.35">
      <c r="A80" s="9" t="s">
        <v>1438</v>
      </c>
      <c r="B80" s="9" t="s">
        <v>6</v>
      </c>
      <c r="C80" s="9" t="s">
        <v>7</v>
      </c>
      <c r="D80" s="9" t="str">
        <f>B80&amp;" - "&amp;C80</f>
        <v>Input - Material</v>
      </c>
      <c r="F80" s="9" t="s">
        <v>8</v>
      </c>
      <c r="G80" s="9" t="s">
        <v>1197</v>
      </c>
      <c r="H80" s="9" t="str">
        <f>IF(E80="x","Economic - "&amp;G80,"Environmental - "&amp;G80)</f>
        <v>Environmental - Resource Use &amp; Circular Economy</v>
      </c>
      <c r="I80" s="12" t="s">
        <v>2036</v>
      </c>
      <c r="J80" s="9" t="s">
        <v>2037</v>
      </c>
      <c r="K80" s="9" t="s">
        <v>10</v>
      </c>
      <c r="L80" s="9" t="s">
        <v>11</v>
      </c>
      <c r="M80" s="9" t="s">
        <v>468</v>
      </c>
      <c r="N80" s="9">
        <f>LEN(O80) - LEN(SUBSTITUTE(O80, ";", ""))+1</f>
        <v>1</v>
      </c>
      <c r="O80" s="9" t="s">
        <v>38</v>
      </c>
      <c r="P80" s="9" t="s">
        <v>39</v>
      </c>
      <c r="Q80" s="9" t="s">
        <v>40</v>
      </c>
      <c r="R80" s="9" t="s">
        <v>17</v>
      </c>
      <c r="S80" s="9" t="s">
        <v>1825</v>
      </c>
      <c r="W80" s="23"/>
    </row>
    <row r="81" spans="1:23" ht="51.5" customHeight="1" x14ac:dyDescent="0.35">
      <c r="A81" s="9" t="s">
        <v>1439</v>
      </c>
      <c r="B81" s="9" t="s">
        <v>6</v>
      </c>
      <c r="C81" s="9" t="s">
        <v>7</v>
      </c>
      <c r="D81" s="9" t="str">
        <f>B81&amp;" - "&amp;C81</f>
        <v>Input - Material</v>
      </c>
      <c r="F81" s="9" t="s">
        <v>8</v>
      </c>
      <c r="G81" s="9" t="s">
        <v>1197</v>
      </c>
      <c r="H81" s="9" t="str">
        <f>IF(E81="x","Economic - "&amp;G81,"Environmental - "&amp;G81)</f>
        <v>Environmental - Resource Use &amp; Circular Economy</v>
      </c>
      <c r="I81" s="12" t="s">
        <v>2035</v>
      </c>
      <c r="J81" s="9" t="s">
        <v>2034</v>
      </c>
      <c r="K81" s="9" t="s">
        <v>10</v>
      </c>
      <c r="L81" s="9" t="s">
        <v>11</v>
      </c>
      <c r="M81" s="9" t="s">
        <v>468</v>
      </c>
      <c r="N81" s="9">
        <f>LEN(O81) - LEN(SUBSTITUTE(O81, ";", ""))+1</f>
        <v>1</v>
      </c>
      <c r="O81" s="9" t="s">
        <v>38</v>
      </c>
      <c r="P81" s="9" t="s">
        <v>39</v>
      </c>
      <c r="Q81" s="9" t="s">
        <v>40</v>
      </c>
      <c r="R81" s="9" t="s">
        <v>17</v>
      </c>
      <c r="S81" s="9" t="s">
        <v>1825</v>
      </c>
      <c r="W81" s="23"/>
    </row>
    <row r="82" spans="1:23" ht="51.5" customHeight="1" x14ac:dyDescent="0.35">
      <c r="A82" s="9" t="s">
        <v>1440</v>
      </c>
      <c r="B82" s="9" t="s">
        <v>6</v>
      </c>
      <c r="C82" s="9" t="s">
        <v>7</v>
      </c>
      <c r="D82" s="9" t="str">
        <f>B82&amp;" - "&amp;C82</f>
        <v>Input - Material</v>
      </c>
      <c r="F82" s="9" t="s">
        <v>8</v>
      </c>
      <c r="G82" s="9" t="s">
        <v>1197</v>
      </c>
      <c r="H82" s="9" t="str">
        <f>IF(E82="x","Economic - "&amp;G82,"Environmental - "&amp;G82)</f>
        <v>Environmental - Resource Use &amp; Circular Economy</v>
      </c>
      <c r="I82" s="12" t="s">
        <v>1942</v>
      </c>
      <c r="J82" s="9" t="s">
        <v>1943</v>
      </c>
      <c r="K82" s="9" t="s">
        <v>10</v>
      </c>
      <c r="L82" s="9" t="s">
        <v>16</v>
      </c>
      <c r="M82" s="9" t="s">
        <v>468</v>
      </c>
      <c r="N82" s="9">
        <f>LEN(O82) - LEN(SUBSTITUTE(O82, ";", ""))+1</f>
        <v>1</v>
      </c>
      <c r="O82" s="9" t="s">
        <v>1040</v>
      </c>
      <c r="P82" s="9" t="s">
        <v>243</v>
      </c>
      <c r="Q82" s="9" t="s">
        <v>244</v>
      </c>
      <c r="R82" s="9" t="s">
        <v>1332</v>
      </c>
      <c r="S82" s="9" t="s">
        <v>17</v>
      </c>
      <c r="W82" s="23"/>
    </row>
    <row r="83" spans="1:23" ht="51.5" customHeight="1" x14ac:dyDescent="0.35">
      <c r="A83" s="9" t="s">
        <v>1475</v>
      </c>
      <c r="B83" s="9" t="s">
        <v>6</v>
      </c>
      <c r="C83" s="9" t="s">
        <v>294</v>
      </c>
      <c r="D83" s="9" t="str">
        <f>B83&amp;" - "&amp;C83</f>
        <v>Input - Water</v>
      </c>
      <c r="F83" s="9" t="s">
        <v>8</v>
      </c>
      <c r="G83" s="9" t="s">
        <v>1198</v>
      </c>
      <c r="H83" s="9" t="str">
        <f>IF(E83="x","Economic - "&amp;G83,"Environmental - "&amp;G83)</f>
        <v>Environmental - Water &amp; Marine Resources</v>
      </c>
      <c r="I83" s="12" t="s">
        <v>1897</v>
      </c>
      <c r="J83" s="9" t="s">
        <v>1891</v>
      </c>
      <c r="K83" s="9" t="s">
        <v>10</v>
      </c>
      <c r="L83" s="9" t="s">
        <v>295</v>
      </c>
      <c r="M83" s="9" t="s">
        <v>468</v>
      </c>
      <c r="N83" s="9">
        <f>LEN(O83) - LEN(SUBSTITUTE(O83, ";", ""))+1</f>
        <v>33</v>
      </c>
      <c r="O83" s="9" t="s">
        <v>2009</v>
      </c>
      <c r="P83" s="9" t="s">
        <v>13</v>
      </c>
      <c r="Q83" s="9" t="s">
        <v>2103</v>
      </c>
      <c r="R83" s="9" t="s">
        <v>1289</v>
      </c>
      <c r="S83" s="9" t="s">
        <v>1823</v>
      </c>
      <c r="W83" s="23"/>
    </row>
    <row r="84" spans="1:23" ht="51.5" customHeight="1" x14ac:dyDescent="0.35">
      <c r="A84" s="9" t="s">
        <v>1476</v>
      </c>
      <c r="B84" s="9" t="s">
        <v>6</v>
      </c>
      <c r="C84" s="9" t="s">
        <v>294</v>
      </c>
      <c r="D84" s="9" t="str">
        <f>B84&amp;" - "&amp;C84</f>
        <v>Input - Water</v>
      </c>
      <c r="F84" s="9" t="s">
        <v>8</v>
      </c>
      <c r="G84" s="9" t="s">
        <v>1198</v>
      </c>
      <c r="H84" s="9" t="str">
        <f>IF(E84="x","Economic - "&amp;G84,"Environmental - "&amp;G84)</f>
        <v>Environmental - Water &amp; Marine Resources</v>
      </c>
      <c r="I84" s="12" t="s">
        <v>1219</v>
      </c>
      <c r="J84" s="9" t="s">
        <v>1892</v>
      </c>
      <c r="K84" s="9" t="s">
        <v>10</v>
      </c>
      <c r="L84" s="9" t="s">
        <v>1217</v>
      </c>
      <c r="M84" s="9" t="s">
        <v>468</v>
      </c>
      <c r="N84" s="9">
        <f>LEN(O84) - LEN(SUBSTITUTE(O84, ";", ""))+1</f>
        <v>17</v>
      </c>
      <c r="O84" s="9" t="s">
        <v>1966</v>
      </c>
      <c r="P84" s="9" t="s">
        <v>50</v>
      </c>
      <c r="Q84" s="9" t="s">
        <v>1320</v>
      </c>
      <c r="R84" s="9" t="s">
        <v>1286</v>
      </c>
      <c r="S84" s="9" t="s">
        <v>1823</v>
      </c>
      <c r="W84" s="23"/>
    </row>
    <row r="85" spans="1:23" ht="51.5" customHeight="1" x14ac:dyDescent="0.35">
      <c r="A85" s="9" t="s">
        <v>1477</v>
      </c>
      <c r="B85" s="9" t="s">
        <v>6</v>
      </c>
      <c r="C85" s="9" t="s">
        <v>294</v>
      </c>
      <c r="D85" s="9" t="str">
        <f>B85&amp;" - "&amp;C85</f>
        <v>Input - Water</v>
      </c>
      <c r="F85" s="9" t="s">
        <v>8</v>
      </c>
      <c r="G85" s="9" t="s">
        <v>1198</v>
      </c>
      <c r="H85" s="9" t="str">
        <f>IF(E85="x","Economic - "&amp;G85,"Environmental - "&amp;G85)</f>
        <v>Environmental - Water &amp; Marine Resources</v>
      </c>
      <c r="I85" s="12" t="s">
        <v>1899</v>
      </c>
      <c r="J85" s="9" t="s">
        <v>1894</v>
      </c>
      <c r="K85" s="9" t="s">
        <v>10</v>
      </c>
      <c r="L85" s="9" t="s">
        <v>295</v>
      </c>
      <c r="M85" s="9" t="s">
        <v>468</v>
      </c>
      <c r="N85" s="9">
        <f>LEN(O85) - LEN(SUBSTITUTE(O85, ";", ""))+1</f>
        <v>2</v>
      </c>
      <c r="O85" s="9" t="s">
        <v>296</v>
      </c>
      <c r="P85" s="9" t="s">
        <v>14</v>
      </c>
      <c r="Q85" s="9" t="s">
        <v>297</v>
      </c>
      <c r="R85" s="9" t="s">
        <v>1284</v>
      </c>
      <c r="S85" s="9" t="s">
        <v>1824</v>
      </c>
      <c r="W85" s="23"/>
    </row>
    <row r="86" spans="1:23" ht="51.5" customHeight="1" x14ac:dyDescent="0.35">
      <c r="A86" s="9" t="s">
        <v>1478</v>
      </c>
      <c r="B86" s="9" t="s">
        <v>6</v>
      </c>
      <c r="C86" s="9" t="s">
        <v>294</v>
      </c>
      <c r="D86" s="9" t="str">
        <f>B86&amp;" - "&amp;C86</f>
        <v>Input - Water</v>
      </c>
      <c r="F86" s="9" t="s">
        <v>8</v>
      </c>
      <c r="G86" s="9" t="s">
        <v>1198</v>
      </c>
      <c r="H86" s="9" t="str">
        <f>IF(E86="x","Economic - "&amp;G86,"Environmental - "&amp;G86)</f>
        <v>Environmental - Water &amp; Marine Resources</v>
      </c>
      <c r="I86" s="12" t="s">
        <v>298</v>
      </c>
      <c r="J86" s="9" t="s">
        <v>1249</v>
      </c>
      <c r="K86" s="9" t="s">
        <v>10</v>
      </c>
      <c r="L86" s="9" t="s">
        <v>295</v>
      </c>
      <c r="M86" s="9" t="s">
        <v>299</v>
      </c>
      <c r="N86" s="9">
        <f>LEN(O86) - LEN(SUBSTITUTE(O86, ";", ""))+1</f>
        <v>2</v>
      </c>
      <c r="O86" s="9" t="s">
        <v>1282</v>
      </c>
      <c r="P86" s="9" t="s">
        <v>74</v>
      </c>
      <c r="Q86" s="9" t="s">
        <v>17</v>
      </c>
      <c r="R86" s="9" t="s">
        <v>17</v>
      </c>
      <c r="S86" s="9" t="s">
        <v>17</v>
      </c>
      <c r="W86" s="23"/>
    </row>
    <row r="87" spans="1:23" ht="51.5" customHeight="1" x14ac:dyDescent="0.35">
      <c r="A87" s="9" t="s">
        <v>1479</v>
      </c>
      <c r="B87" s="9" t="s">
        <v>6</v>
      </c>
      <c r="C87" s="9" t="s">
        <v>294</v>
      </c>
      <c r="D87" s="9" t="str">
        <f>B87&amp;" - "&amp;C87</f>
        <v>Input - Water</v>
      </c>
      <c r="F87" s="9" t="s">
        <v>8</v>
      </c>
      <c r="G87" s="9" t="s">
        <v>1198</v>
      </c>
      <c r="H87" s="9" t="str">
        <f>IF(E87="x","Economic - "&amp;G87,"Environmental - "&amp;G87)</f>
        <v>Environmental - Water &amp; Marine Resources</v>
      </c>
      <c r="I87" s="12" t="s">
        <v>300</v>
      </c>
      <c r="J87" s="9" t="s">
        <v>1104</v>
      </c>
      <c r="K87" s="9" t="s">
        <v>10</v>
      </c>
      <c r="L87" s="9" t="s">
        <v>16</v>
      </c>
      <c r="M87" s="9" t="s">
        <v>468</v>
      </c>
      <c r="N87" s="9">
        <f>LEN(O87) - LEN(SUBSTITUTE(O87, ";", ""))+1</f>
        <v>2</v>
      </c>
      <c r="O87" s="9" t="s">
        <v>1970</v>
      </c>
      <c r="P87" s="9" t="s">
        <v>39</v>
      </c>
      <c r="Q87" s="9" t="s">
        <v>1293</v>
      </c>
      <c r="R87" s="9" t="s">
        <v>17</v>
      </c>
      <c r="S87" s="9" t="s">
        <v>1827</v>
      </c>
      <c r="W87" s="23"/>
    </row>
    <row r="88" spans="1:23" ht="51.5" customHeight="1" x14ac:dyDescent="0.35">
      <c r="A88" s="9" t="s">
        <v>1480</v>
      </c>
      <c r="B88" s="9" t="s">
        <v>6</v>
      </c>
      <c r="C88" s="9" t="s">
        <v>294</v>
      </c>
      <c r="D88" s="9" t="str">
        <f>B88&amp;" - "&amp;C88</f>
        <v>Input - Water</v>
      </c>
      <c r="F88" s="9" t="s">
        <v>8</v>
      </c>
      <c r="G88" s="9" t="s">
        <v>1198</v>
      </c>
      <c r="H88" s="9" t="str">
        <f>IF(E88="x","Economic - "&amp;G88,"Environmental - "&amp;G88)</f>
        <v>Environmental - Water &amp; Marine Resources</v>
      </c>
      <c r="I88" s="12" t="s">
        <v>301</v>
      </c>
      <c r="J88" s="9" t="s">
        <v>302</v>
      </c>
      <c r="K88" s="9" t="s">
        <v>10</v>
      </c>
      <c r="L88" s="9" t="s">
        <v>16</v>
      </c>
      <c r="M88" s="9" t="s">
        <v>468</v>
      </c>
      <c r="N88" s="9">
        <f>LEN(O88) - LEN(SUBSTITUTE(O88, ";", ""))+1</f>
        <v>1</v>
      </c>
      <c r="O88" s="9" t="s">
        <v>303</v>
      </c>
      <c r="P88" s="9" t="s">
        <v>84</v>
      </c>
      <c r="Q88" s="9" t="s">
        <v>17</v>
      </c>
      <c r="R88" s="9" t="s">
        <v>17</v>
      </c>
      <c r="S88" s="9" t="s">
        <v>17</v>
      </c>
      <c r="W88" s="23"/>
    </row>
    <row r="89" spans="1:23" ht="51.5" customHeight="1" x14ac:dyDescent="0.35">
      <c r="A89" s="9" t="s">
        <v>1481</v>
      </c>
      <c r="B89" s="9" t="s">
        <v>6</v>
      </c>
      <c r="C89" s="9" t="s">
        <v>294</v>
      </c>
      <c r="D89" s="9" t="str">
        <f>B89&amp;" - "&amp;C89</f>
        <v>Input - Water</v>
      </c>
      <c r="F89" s="9" t="s">
        <v>8</v>
      </c>
      <c r="G89" s="9" t="s">
        <v>1198</v>
      </c>
      <c r="H89" s="9" t="str">
        <f>IF(E89="x","Economic - "&amp;G89,"Environmental - "&amp;G89)</f>
        <v>Environmental - Water &amp; Marine Resources</v>
      </c>
      <c r="I89" s="12" t="s">
        <v>1898</v>
      </c>
      <c r="J89" s="9" t="s">
        <v>1893</v>
      </c>
      <c r="K89" s="9" t="s">
        <v>10</v>
      </c>
      <c r="L89" s="9" t="s">
        <v>295</v>
      </c>
      <c r="M89" s="9" t="s">
        <v>468</v>
      </c>
      <c r="N89" s="9">
        <f>LEN(O89) - LEN(SUBSTITUTE(O89, ";", ""))+1</f>
        <v>3</v>
      </c>
      <c r="O89" s="9" t="s">
        <v>304</v>
      </c>
      <c r="P89" s="9" t="s">
        <v>74</v>
      </c>
      <c r="Q89" s="9" t="s">
        <v>2104</v>
      </c>
      <c r="R89" s="9" t="s">
        <v>17</v>
      </c>
      <c r="S89" s="9" t="s">
        <v>1826</v>
      </c>
      <c r="W89" s="23"/>
    </row>
    <row r="90" spans="1:23" ht="51.5" customHeight="1" x14ac:dyDescent="0.35">
      <c r="A90" s="9" t="s">
        <v>1482</v>
      </c>
      <c r="B90" s="9" t="s">
        <v>6</v>
      </c>
      <c r="C90" s="9" t="s">
        <v>294</v>
      </c>
      <c r="D90" s="9" t="str">
        <f>B90&amp;" - "&amp;C90</f>
        <v>Input - Water</v>
      </c>
      <c r="F90" s="9" t="s">
        <v>8</v>
      </c>
      <c r="G90" s="9" t="s">
        <v>1198</v>
      </c>
      <c r="H90" s="9" t="str">
        <f>IF(E90="x","Economic - "&amp;G90,"Environmental - "&amp;G90)</f>
        <v>Environmental - Water &amp; Marine Resources</v>
      </c>
      <c r="I90" s="12" t="s">
        <v>1900</v>
      </c>
      <c r="J90" s="9" t="s">
        <v>1895</v>
      </c>
      <c r="K90" s="9" t="s">
        <v>10</v>
      </c>
      <c r="L90" s="9" t="s">
        <v>1260</v>
      </c>
      <c r="M90" s="9" t="s">
        <v>468</v>
      </c>
      <c r="N90" s="9">
        <f>LEN(O90) - LEN(SUBSTITUTE(O90, ";", ""))+1</f>
        <v>2</v>
      </c>
      <c r="O90" s="9" t="s">
        <v>1068</v>
      </c>
      <c r="P90" s="9" t="s">
        <v>65</v>
      </c>
      <c r="Q90" s="9" t="s">
        <v>305</v>
      </c>
      <c r="R90" s="9" t="s">
        <v>1302</v>
      </c>
      <c r="S90" s="9" t="s">
        <v>1827</v>
      </c>
      <c r="W90" s="23"/>
    </row>
    <row r="91" spans="1:23" ht="51.5" customHeight="1" x14ac:dyDescent="0.35">
      <c r="A91" s="9" t="s">
        <v>1483</v>
      </c>
      <c r="B91" s="9" t="s">
        <v>6</v>
      </c>
      <c r="C91" s="9" t="s">
        <v>294</v>
      </c>
      <c r="D91" s="9" t="str">
        <f>B91&amp;" - "&amp;C91</f>
        <v>Input - Water</v>
      </c>
      <c r="F91" s="9" t="s">
        <v>8</v>
      </c>
      <c r="G91" s="9" t="s">
        <v>1198</v>
      </c>
      <c r="H91" s="9" t="str">
        <f>IF(E91="x","Economic - "&amp;G91,"Environmental - "&amp;G91)</f>
        <v>Environmental - Water &amp; Marine Resources</v>
      </c>
      <c r="I91" s="12" t="s">
        <v>2047</v>
      </c>
      <c r="J91" s="9" t="s">
        <v>2172</v>
      </c>
      <c r="K91" s="9" t="s">
        <v>10</v>
      </c>
      <c r="L91" s="9" t="s">
        <v>295</v>
      </c>
      <c r="M91" s="9" t="s">
        <v>468</v>
      </c>
      <c r="N91" s="9">
        <f>LEN(O91) - LEN(SUBSTITUTE(O91, ";", ""))+1</f>
        <v>10</v>
      </c>
      <c r="O91" s="9" t="s">
        <v>2049</v>
      </c>
      <c r="P91" s="9" t="s">
        <v>50</v>
      </c>
      <c r="Q91" s="9" t="s">
        <v>2105</v>
      </c>
      <c r="R91" s="9" t="s">
        <v>1300</v>
      </c>
      <c r="S91" s="9" t="s">
        <v>1826</v>
      </c>
      <c r="W91" s="23"/>
    </row>
    <row r="92" spans="1:23" ht="51.5" customHeight="1" x14ac:dyDescent="0.35">
      <c r="A92" s="9" t="s">
        <v>1484</v>
      </c>
      <c r="B92" s="9" t="s">
        <v>6</v>
      </c>
      <c r="C92" s="9" t="s">
        <v>294</v>
      </c>
      <c r="D92" s="9" t="str">
        <f>B92&amp;" - "&amp;C92</f>
        <v>Input - Water</v>
      </c>
      <c r="F92" s="9" t="s">
        <v>8</v>
      </c>
      <c r="G92" s="9" t="s">
        <v>1198</v>
      </c>
      <c r="H92" s="9" t="str">
        <f>IF(E92="x","Economic - "&amp;G92,"Environmental - "&amp;G92)</f>
        <v>Environmental - Water &amp; Marine Resources</v>
      </c>
      <c r="I92" s="12" t="s">
        <v>2048</v>
      </c>
      <c r="J92" s="9" t="s">
        <v>2171</v>
      </c>
      <c r="K92" s="9" t="s">
        <v>10</v>
      </c>
      <c r="L92" s="9" t="s">
        <v>16</v>
      </c>
      <c r="M92" s="9" t="s">
        <v>468</v>
      </c>
      <c r="N92" s="9">
        <f>LEN(O92) - LEN(SUBSTITUTE(O92, ";", ""))+1</f>
        <v>7</v>
      </c>
      <c r="O92" s="9" t="s">
        <v>2050</v>
      </c>
      <c r="P92" s="9" t="s">
        <v>14</v>
      </c>
      <c r="Q92" s="9" t="s">
        <v>1301</v>
      </c>
      <c r="R92" s="9" t="s">
        <v>1284</v>
      </c>
      <c r="S92" s="9" t="s">
        <v>1823</v>
      </c>
      <c r="W92" s="23"/>
    </row>
    <row r="93" spans="1:23" ht="51.5" customHeight="1" x14ac:dyDescent="0.35">
      <c r="A93" s="9" t="s">
        <v>1485</v>
      </c>
      <c r="B93" s="9" t="s">
        <v>6</v>
      </c>
      <c r="C93" s="9" t="s">
        <v>294</v>
      </c>
      <c r="D93" s="9" t="str">
        <f>B93&amp;" - "&amp;C93</f>
        <v>Input - Water</v>
      </c>
      <c r="F93" s="9" t="s">
        <v>8</v>
      </c>
      <c r="G93" s="9" t="s">
        <v>1198</v>
      </c>
      <c r="H93" s="9" t="str">
        <f>IF(E93="x","Economic - "&amp;G93,"Environmental - "&amp;G93)</f>
        <v>Environmental - Water &amp; Marine Resources</v>
      </c>
      <c r="I93" s="12" t="s">
        <v>1901</v>
      </c>
      <c r="J93" s="9" t="s">
        <v>1896</v>
      </c>
      <c r="K93" s="9" t="s">
        <v>10</v>
      </c>
      <c r="L93" s="9" t="s">
        <v>295</v>
      </c>
      <c r="M93" s="9" t="s">
        <v>468</v>
      </c>
      <c r="N93" s="9">
        <f>LEN(O93) - LEN(SUBSTITUTE(O93, ";", ""))+1</f>
        <v>1</v>
      </c>
      <c r="O93" s="9" t="s">
        <v>123</v>
      </c>
      <c r="P93" s="9" t="s">
        <v>116</v>
      </c>
      <c r="Q93" s="9" t="s">
        <v>124</v>
      </c>
      <c r="R93" s="9" t="s">
        <v>125</v>
      </c>
      <c r="S93" s="9" t="s">
        <v>17</v>
      </c>
      <c r="W93" s="23"/>
    </row>
    <row r="94" spans="1:23" ht="51.5" customHeight="1" x14ac:dyDescent="0.35">
      <c r="A94" s="9" t="s">
        <v>1486</v>
      </c>
      <c r="B94" s="9" t="s">
        <v>6</v>
      </c>
      <c r="C94" s="9" t="s">
        <v>294</v>
      </c>
      <c r="D94" s="9" t="str">
        <f>B94&amp;" - "&amp;C94</f>
        <v>Input - Water</v>
      </c>
      <c r="E94" s="9" t="s">
        <v>8</v>
      </c>
      <c r="G94" s="9" t="s">
        <v>1086</v>
      </c>
      <c r="H94" s="9" t="str">
        <f>IF(E94="x","Economic - "&amp;G94,"Environmental - "&amp;G94)</f>
        <v>Economic - Cost</v>
      </c>
      <c r="I94" s="12" t="s">
        <v>306</v>
      </c>
      <c r="J94" s="9" t="s">
        <v>1116</v>
      </c>
      <c r="K94" s="9" t="s">
        <v>10</v>
      </c>
      <c r="L94" s="9" t="s">
        <v>19</v>
      </c>
      <c r="M94" s="9" t="s">
        <v>468</v>
      </c>
      <c r="N94" s="9">
        <f>LEN(O94) - LEN(SUBSTITUTE(O94, ";", ""))+1</f>
        <v>3</v>
      </c>
      <c r="O94" s="9" t="s">
        <v>307</v>
      </c>
      <c r="P94" s="9" t="s">
        <v>14</v>
      </c>
      <c r="Q94" s="9" t="s">
        <v>308</v>
      </c>
      <c r="R94" s="9" t="s">
        <v>1284</v>
      </c>
      <c r="S94" s="9" t="s">
        <v>1827</v>
      </c>
      <c r="W94" s="23"/>
    </row>
    <row r="95" spans="1:23" ht="51.5" customHeight="1" x14ac:dyDescent="0.35">
      <c r="A95" s="9" t="s">
        <v>1487</v>
      </c>
      <c r="B95" s="9" t="s">
        <v>6</v>
      </c>
      <c r="C95" s="9" t="s">
        <v>294</v>
      </c>
      <c r="D95" s="9" t="str">
        <f>B95&amp;" - "&amp;C95</f>
        <v>Input - Water</v>
      </c>
      <c r="F95" s="9" t="s">
        <v>8</v>
      </c>
      <c r="G95" s="9" t="s">
        <v>1198</v>
      </c>
      <c r="H95" s="9" t="str">
        <f>IF(E95="x","Economic - "&amp;G95,"Environmental - "&amp;G95)</f>
        <v>Environmental - Water &amp; Marine Resources</v>
      </c>
      <c r="I95" s="12" t="s">
        <v>309</v>
      </c>
      <c r="J95" s="9" t="s">
        <v>1154</v>
      </c>
      <c r="K95" s="9" t="s">
        <v>10</v>
      </c>
      <c r="L95" s="9" t="s">
        <v>1263</v>
      </c>
      <c r="M95" s="9" t="s">
        <v>468</v>
      </c>
      <c r="N95" s="9">
        <f>LEN(O95) - LEN(SUBSTITUTE(O95, ";", ""))+1</f>
        <v>1</v>
      </c>
      <c r="O95" s="9" t="s">
        <v>38</v>
      </c>
      <c r="P95" s="9" t="s">
        <v>39</v>
      </c>
      <c r="Q95" s="9" t="s">
        <v>40</v>
      </c>
      <c r="R95" s="9" t="s">
        <v>17</v>
      </c>
      <c r="S95" s="9" t="s">
        <v>1825</v>
      </c>
      <c r="W95" s="23"/>
    </row>
    <row r="96" spans="1:23" ht="51.5" customHeight="1" x14ac:dyDescent="0.35">
      <c r="A96" s="9" t="s">
        <v>1488</v>
      </c>
      <c r="B96" s="9" t="s">
        <v>6</v>
      </c>
      <c r="C96" s="9" t="s">
        <v>294</v>
      </c>
      <c r="D96" s="9" t="str">
        <f>B96&amp;" - "&amp;C96</f>
        <v>Input - Water</v>
      </c>
      <c r="F96" s="9" t="s">
        <v>8</v>
      </c>
      <c r="G96" s="9" t="s">
        <v>1198</v>
      </c>
      <c r="H96" s="9" t="str">
        <f>IF(E96="x","Economic - "&amp;G96,"Environmental - "&amp;G96)</f>
        <v>Environmental - Water &amp; Marine Resources</v>
      </c>
      <c r="I96" s="12" t="s">
        <v>310</v>
      </c>
      <c r="J96" s="9" t="s">
        <v>1155</v>
      </c>
      <c r="K96" s="9" t="s">
        <v>10</v>
      </c>
      <c r="L96" s="9" t="s">
        <v>16</v>
      </c>
      <c r="M96" s="9" t="s">
        <v>468</v>
      </c>
      <c r="N96" s="9">
        <f>LEN(O96) - LEN(SUBSTITUTE(O96, ";", ""))+1</f>
        <v>1</v>
      </c>
      <c r="O96" s="9" t="s">
        <v>38</v>
      </c>
      <c r="P96" s="9" t="s">
        <v>39</v>
      </c>
      <c r="Q96" s="9" t="s">
        <v>40</v>
      </c>
      <c r="R96" s="9" t="s">
        <v>17</v>
      </c>
      <c r="S96" s="9" t="s">
        <v>1825</v>
      </c>
      <c r="W96" s="23"/>
    </row>
    <row r="97" spans="1:23" ht="51.5" customHeight="1" x14ac:dyDescent="0.35">
      <c r="A97" s="9" t="s">
        <v>1441</v>
      </c>
      <c r="B97" s="9" t="s">
        <v>6</v>
      </c>
      <c r="C97" s="9" t="s">
        <v>217</v>
      </c>
      <c r="D97" s="9" t="str">
        <f>B97&amp;" - "&amp;C97</f>
        <v>Input - Energy</v>
      </c>
      <c r="F97" s="9" t="s">
        <v>8</v>
      </c>
      <c r="G97" s="9" t="s">
        <v>1199</v>
      </c>
      <c r="H97" s="9" t="str">
        <f>IF(E97="x","Economic - "&amp;G97,"Environmental - "&amp;G97)</f>
        <v>Environmental - Climate Change</v>
      </c>
      <c r="I97" s="12" t="s">
        <v>218</v>
      </c>
      <c r="J97" s="9" t="s">
        <v>219</v>
      </c>
      <c r="K97" s="9" t="s">
        <v>10</v>
      </c>
      <c r="L97" s="9" t="s">
        <v>220</v>
      </c>
      <c r="M97" s="9" t="s">
        <v>221</v>
      </c>
      <c r="N97" s="9">
        <f>LEN(O97) - LEN(SUBSTITUTE(O97, ";", ""))+1</f>
        <v>31</v>
      </c>
      <c r="O97" s="9" t="s">
        <v>2084</v>
      </c>
      <c r="P97" s="9" t="s">
        <v>13</v>
      </c>
      <c r="Q97" s="9" t="s">
        <v>2106</v>
      </c>
      <c r="R97" s="9" t="s">
        <v>1289</v>
      </c>
      <c r="S97" s="9" t="s">
        <v>1826</v>
      </c>
      <c r="W97" s="23"/>
    </row>
    <row r="98" spans="1:23" ht="51.5" customHeight="1" x14ac:dyDescent="0.35">
      <c r="A98" s="9" t="s">
        <v>1442</v>
      </c>
      <c r="B98" s="9" t="s">
        <v>6</v>
      </c>
      <c r="C98" s="9" t="s">
        <v>217</v>
      </c>
      <c r="D98" s="9" t="str">
        <f>B98&amp;" - "&amp;C98</f>
        <v>Input - Energy</v>
      </c>
      <c r="F98" s="9" t="s">
        <v>8</v>
      </c>
      <c r="G98" s="9" t="s">
        <v>1199</v>
      </c>
      <c r="H98" s="9" t="str">
        <f>IF(E98="x","Economic - "&amp;G98,"Environmental - "&amp;G98)</f>
        <v>Environmental - Climate Change</v>
      </c>
      <c r="I98" s="12" t="s">
        <v>222</v>
      </c>
      <c r="J98" s="9" t="s">
        <v>223</v>
      </c>
      <c r="K98" s="9" t="s">
        <v>10</v>
      </c>
      <c r="L98" s="9" t="s">
        <v>224</v>
      </c>
      <c r="M98" s="9" t="s">
        <v>221</v>
      </c>
      <c r="N98" s="9">
        <f>LEN(O98) - LEN(SUBSTITUTE(O98, ";", ""))+1</f>
        <v>17</v>
      </c>
      <c r="O98" s="9" t="s">
        <v>2041</v>
      </c>
      <c r="P98" s="9" t="s">
        <v>50</v>
      </c>
      <c r="Q98" s="9" t="s">
        <v>2107</v>
      </c>
      <c r="R98" s="9" t="s">
        <v>1289</v>
      </c>
      <c r="S98" s="9" t="s">
        <v>1823</v>
      </c>
      <c r="W98" s="23"/>
    </row>
    <row r="99" spans="1:23" ht="51.5" customHeight="1" x14ac:dyDescent="0.35">
      <c r="A99" s="9" t="s">
        <v>1443</v>
      </c>
      <c r="B99" s="9" t="s">
        <v>6</v>
      </c>
      <c r="C99" s="9" t="s">
        <v>217</v>
      </c>
      <c r="D99" s="9" t="str">
        <f>B99&amp;" - "&amp;C99</f>
        <v>Input - Energy</v>
      </c>
      <c r="F99" s="9" t="s">
        <v>8</v>
      </c>
      <c r="G99" s="9" t="s">
        <v>1199</v>
      </c>
      <c r="H99" s="9" t="str">
        <f>IF(E99="x","Economic - "&amp;G99,"Environmental - "&amp;G99)</f>
        <v>Environmental - Climate Change</v>
      </c>
      <c r="I99" s="12" t="s">
        <v>225</v>
      </c>
      <c r="J99" s="9" t="s">
        <v>226</v>
      </c>
      <c r="K99" s="9" t="s">
        <v>10</v>
      </c>
      <c r="L99" s="9" t="s">
        <v>220</v>
      </c>
      <c r="M99" s="9" t="s">
        <v>468</v>
      </c>
      <c r="N99" s="9">
        <f>LEN(O99) - LEN(SUBSTITUTE(O99, ";", ""))+1</f>
        <v>5</v>
      </c>
      <c r="O99" s="9" t="s">
        <v>2016</v>
      </c>
      <c r="P99" s="9" t="s">
        <v>74</v>
      </c>
      <c r="Q99" s="9" t="s">
        <v>2108</v>
      </c>
      <c r="R99" s="9" t="s">
        <v>17</v>
      </c>
      <c r="S99" s="9" t="s">
        <v>1823</v>
      </c>
      <c r="W99" s="23"/>
    </row>
    <row r="100" spans="1:23" ht="51.5" customHeight="1" x14ac:dyDescent="0.35">
      <c r="A100" s="9" t="s">
        <v>1444</v>
      </c>
      <c r="B100" s="9" t="s">
        <v>6</v>
      </c>
      <c r="C100" s="9" t="s">
        <v>217</v>
      </c>
      <c r="D100" s="9" t="str">
        <f>B100&amp;" - "&amp;C100</f>
        <v>Input - Energy</v>
      </c>
      <c r="F100" s="9" t="s">
        <v>8</v>
      </c>
      <c r="G100" s="9" t="s">
        <v>1199</v>
      </c>
      <c r="H100" s="9" t="str">
        <f>IF(E100="x","Economic - "&amp;G100,"Environmental - "&amp;G100)</f>
        <v>Environmental - Climate Change</v>
      </c>
      <c r="I100" s="12" t="s">
        <v>227</v>
      </c>
      <c r="J100" s="9" t="s">
        <v>1128</v>
      </c>
      <c r="K100" s="9" t="s">
        <v>10</v>
      </c>
      <c r="L100" s="9" t="s">
        <v>220</v>
      </c>
      <c r="M100" s="9" t="s">
        <v>468</v>
      </c>
      <c r="N100" s="9">
        <f>LEN(O100) - LEN(SUBSTITUTE(O100, ";", ""))+1</f>
        <v>2</v>
      </c>
      <c r="O100" s="9" t="s">
        <v>228</v>
      </c>
      <c r="P100" s="9" t="s">
        <v>229</v>
      </c>
      <c r="Q100" s="9" t="s">
        <v>1313</v>
      </c>
      <c r="R100" s="9" t="s">
        <v>1304</v>
      </c>
      <c r="S100" s="9" t="s">
        <v>17</v>
      </c>
      <c r="W100" s="23"/>
    </row>
    <row r="101" spans="1:23" ht="51.5" customHeight="1" x14ac:dyDescent="0.35">
      <c r="A101" s="9" t="s">
        <v>1445</v>
      </c>
      <c r="B101" s="9" t="s">
        <v>6</v>
      </c>
      <c r="C101" s="9" t="s">
        <v>217</v>
      </c>
      <c r="D101" s="9" t="str">
        <f>B101&amp;" - "&amp;C101</f>
        <v>Input - Energy</v>
      </c>
      <c r="F101" s="9" t="s">
        <v>8</v>
      </c>
      <c r="G101" s="9" t="s">
        <v>1199</v>
      </c>
      <c r="H101" s="9" t="str">
        <f>IF(E101="x","Economic - "&amp;G101,"Environmental - "&amp;G101)</f>
        <v>Environmental - Climate Change</v>
      </c>
      <c r="I101" s="12" t="s">
        <v>230</v>
      </c>
      <c r="J101" s="9" t="s">
        <v>231</v>
      </c>
      <c r="K101" s="9" t="s">
        <v>10</v>
      </c>
      <c r="L101" s="9" t="s">
        <v>220</v>
      </c>
      <c r="M101" s="9" t="s">
        <v>468</v>
      </c>
      <c r="N101" s="9">
        <f>LEN(O101) - LEN(SUBSTITUTE(O101, ";", ""))+1</f>
        <v>6</v>
      </c>
      <c r="O101" s="9" t="s">
        <v>1968</v>
      </c>
      <c r="P101" s="9" t="s">
        <v>13</v>
      </c>
      <c r="Q101" s="9" t="s">
        <v>2097</v>
      </c>
      <c r="R101" s="9" t="s">
        <v>1284</v>
      </c>
      <c r="S101" s="9" t="s">
        <v>1823</v>
      </c>
      <c r="W101" s="23"/>
    </row>
    <row r="102" spans="1:23" ht="51.5" customHeight="1" x14ac:dyDescent="0.35">
      <c r="A102" s="9" t="s">
        <v>1446</v>
      </c>
      <c r="B102" s="9" t="s">
        <v>6</v>
      </c>
      <c r="C102" s="9" t="s">
        <v>217</v>
      </c>
      <c r="D102" s="9" t="str">
        <f>B102&amp;" - "&amp;C102</f>
        <v>Input - Energy</v>
      </c>
      <c r="F102" s="9" t="s">
        <v>8</v>
      </c>
      <c r="G102" s="9" t="s">
        <v>1199</v>
      </c>
      <c r="H102" s="9" t="str">
        <f>IF(E102="x","Economic - "&amp;G102,"Environmental - "&amp;G102)</f>
        <v>Environmental - Climate Change</v>
      </c>
      <c r="I102" s="12" t="s">
        <v>232</v>
      </c>
      <c r="J102" s="9" t="s">
        <v>1129</v>
      </c>
      <c r="K102" s="9" t="s">
        <v>10</v>
      </c>
      <c r="L102" s="9" t="s">
        <v>220</v>
      </c>
      <c r="M102" s="9" t="s">
        <v>468</v>
      </c>
      <c r="N102" s="9">
        <f>LEN(O102) - LEN(SUBSTITUTE(O102, ";", ""))+1</f>
        <v>2</v>
      </c>
      <c r="O102" s="9" t="s">
        <v>233</v>
      </c>
      <c r="P102" s="9" t="s">
        <v>14</v>
      </c>
      <c r="Q102" s="9" t="s">
        <v>2109</v>
      </c>
      <c r="R102" s="9" t="s">
        <v>1284</v>
      </c>
      <c r="S102" s="9" t="s">
        <v>1826</v>
      </c>
      <c r="W102" s="23"/>
    </row>
    <row r="103" spans="1:23" ht="51.5" customHeight="1" x14ac:dyDescent="0.35">
      <c r="A103" s="9" t="s">
        <v>1447</v>
      </c>
      <c r="B103" s="9" t="s">
        <v>6</v>
      </c>
      <c r="C103" s="9" t="s">
        <v>217</v>
      </c>
      <c r="D103" s="9" t="str">
        <f>B103&amp;" - "&amp;C103</f>
        <v>Input - Energy</v>
      </c>
      <c r="F103" s="9" t="s">
        <v>8</v>
      </c>
      <c r="G103" s="9" t="s">
        <v>1199</v>
      </c>
      <c r="H103" s="9" t="str">
        <f>IF(E103="x","Economic - "&amp;G103,"Environmental - "&amp;G103)</f>
        <v>Environmental - Climate Change</v>
      </c>
      <c r="I103" s="12" t="s">
        <v>1215</v>
      </c>
      <c r="J103" s="9" t="s">
        <v>1218</v>
      </c>
      <c r="K103" s="9" t="s">
        <v>10</v>
      </c>
      <c r="L103" s="9" t="s">
        <v>1216</v>
      </c>
      <c r="M103" s="9" t="s">
        <v>234</v>
      </c>
      <c r="N103" s="9">
        <f>LEN(O103) - LEN(SUBSTITUTE(O103, ";", ""))+1</f>
        <v>24</v>
      </c>
      <c r="O103" s="9" t="s">
        <v>1965</v>
      </c>
      <c r="P103" s="9" t="s">
        <v>50</v>
      </c>
      <c r="Q103" s="9" t="s">
        <v>1314</v>
      </c>
      <c r="R103" s="9" t="s">
        <v>1286</v>
      </c>
      <c r="S103" s="9" t="s">
        <v>1823</v>
      </c>
      <c r="W103" s="23"/>
    </row>
    <row r="104" spans="1:23" ht="51.5" customHeight="1" x14ac:dyDescent="0.35">
      <c r="A104" s="9" t="s">
        <v>1448</v>
      </c>
      <c r="B104" s="9" t="s">
        <v>6</v>
      </c>
      <c r="C104" s="9" t="s">
        <v>217</v>
      </c>
      <c r="D104" s="9" t="str">
        <f>B104&amp;" - "&amp;C104</f>
        <v>Input - Energy</v>
      </c>
      <c r="F104" s="9" t="s">
        <v>8</v>
      </c>
      <c r="G104" s="9" t="s">
        <v>1199</v>
      </c>
      <c r="H104" s="9" t="str">
        <f>IF(E104="x","Economic - "&amp;G104,"Environmental - "&amp;G104)</f>
        <v>Environmental - Climate Change</v>
      </c>
      <c r="I104" s="12" t="s">
        <v>235</v>
      </c>
      <c r="J104" s="9" t="s">
        <v>1907</v>
      </c>
      <c r="K104" s="9" t="s">
        <v>10</v>
      </c>
      <c r="L104" s="9" t="s">
        <v>16</v>
      </c>
      <c r="M104" s="9" t="s">
        <v>468</v>
      </c>
      <c r="N104" s="9">
        <f>LEN(O104) - LEN(SUBSTITUTE(O104, ";", ""))+1</f>
        <v>10</v>
      </c>
      <c r="O104" s="9" t="s">
        <v>1991</v>
      </c>
      <c r="P104" s="9" t="s">
        <v>13</v>
      </c>
      <c r="Q104" s="9" t="s">
        <v>1315</v>
      </c>
      <c r="R104" s="9" t="s">
        <v>1286</v>
      </c>
      <c r="S104" s="9" t="s">
        <v>1823</v>
      </c>
      <c r="W104" s="23"/>
    </row>
    <row r="105" spans="1:23" ht="51.5" customHeight="1" x14ac:dyDescent="0.35">
      <c r="A105" s="9" t="s">
        <v>1449</v>
      </c>
      <c r="B105" s="9" t="s">
        <v>6</v>
      </c>
      <c r="C105" s="9" t="s">
        <v>217</v>
      </c>
      <c r="D105" s="9" t="str">
        <f>B105&amp;" - "&amp;C105</f>
        <v>Input - Energy</v>
      </c>
      <c r="F105" s="9" t="s">
        <v>8</v>
      </c>
      <c r="G105" s="9" t="s">
        <v>1199</v>
      </c>
      <c r="H105" s="9" t="str">
        <f>IF(E105="x","Economic - "&amp;G105,"Environmental - "&amp;G105)</f>
        <v>Environmental - Climate Change</v>
      </c>
      <c r="I105" s="12" t="s">
        <v>236</v>
      </c>
      <c r="J105" s="9" t="s">
        <v>237</v>
      </c>
      <c r="K105" s="9" t="s">
        <v>10</v>
      </c>
      <c r="L105" s="9" t="s">
        <v>224</v>
      </c>
      <c r="M105" s="9" t="s">
        <v>468</v>
      </c>
      <c r="N105" s="9">
        <f>LEN(O105) - LEN(SUBSTITUTE(O105, ";", ""))+1</f>
        <v>3</v>
      </c>
      <c r="O105" s="9" t="s">
        <v>1358</v>
      </c>
      <c r="P105" s="9" t="s">
        <v>74</v>
      </c>
      <c r="Q105" s="9" t="s">
        <v>1293</v>
      </c>
      <c r="R105" s="9" t="s">
        <v>17</v>
      </c>
      <c r="S105" s="9" t="s">
        <v>1823</v>
      </c>
      <c r="W105" s="23"/>
    </row>
    <row r="106" spans="1:23" ht="51.5" customHeight="1" x14ac:dyDescent="0.35">
      <c r="A106" s="9" t="s">
        <v>1450</v>
      </c>
      <c r="B106" s="9" t="s">
        <v>6</v>
      </c>
      <c r="C106" s="9" t="s">
        <v>217</v>
      </c>
      <c r="D106" s="9" t="str">
        <f>B106&amp;" - "&amp;C106</f>
        <v>Input - Energy</v>
      </c>
      <c r="E106" s="9" t="s">
        <v>8</v>
      </c>
      <c r="G106" s="9" t="s">
        <v>1086</v>
      </c>
      <c r="H106" s="9" t="str">
        <f>IF(E106="x","Economic - "&amp;G106,"Environmental - "&amp;G106)</f>
        <v>Economic - Cost</v>
      </c>
      <c r="I106" s="12" t="s">
        <v>238</v>
      </c>
      <c r="J106" s="9" t="s">
        <v>239</v>
      </c>
      <c r="K106" s="9" t="s">
        <v>10</v>
      </c>
      <c r="L106" s="9" t="s">
        <v>19</v>
      </c>
      <c r="M106" s="9" t="s">
        <v>468</v>
      </c>
      <c r="N106" s="9">
        <f>LEN(O106) - LEN(SUBSTITUTE(O106, ";", ""))+1</f>
        <v>9</v>
      </c>
      <c r="O106" s="9" t="s">
        <v>1986</v>
      </c>
      <c r="P106" s="9" t="s">
        <v>50</v>
      </c>
      <c r="Q106" s="9" t="s">
        <v>1348</v>
      </c>
      <c r="R106" s="9" t="s">
        <v>1286</v>
      </c>
      <c r="S106" s="9" t="s">
        <v>1823</v>
      </c>
      <c r="W106" s="23"/>
    </row>
    <row r="107" spans="1:23" ht="51.5" customHeight="1" x14ac:dyDescent="0.35">
      <c r="A107" s="9" t="s">
        <v>1451</v>
      </c>
      <c r="B107" s="9" t="s">
        <v>6</v>
      </c>
      <c r="C107" s="9" t="s">
        <v>217</v>
      </c>
      <c r="D107" s="9" t="str">
        <f>B107&amp;" - "&amp;C107</f>
        <v>Input - Energy</v>
      </c>
      <c r="E107" s="9" t="s">
        <v>8</v>
      </c>
      <c r="G107" s="9" t="s">
        <v>1086</v>
      </c>
      <c r="H107" s="9" t="str">
        <f>IF(E107="x","Economic - "&amp;G107,"Environmental - "&amp;G107)</f>
        <v>Economic - Cost</v>
      </c>
      <c r="I107" s="12" t="s">
        <v>240</v>
      </c>
      <c r="J107" s="9" t="s">
        <v>1153</v>
      </c>
      <c r="K107" s="9" t="s">
        <v>10</v>
      </c>
      <c r="L107" s="9" t="s">
        <v>1263</v>
      </c>
      <c r="M107" s="9" t="s">
        <v>468</v>
      </c>
      <c r="N107" s="9">
        <f>LEN(O107) - LEN(SUBSTITUTE(O107, ";", ""))+1</f>
        <v>2</v>
      </c>
      <c r="O107" s="9" t="s">
        <v>132</v>
      </c>
      <c r="P107" s="9" t="s">
        <v>39</v>
      </c>
      <c r="Q107" s="9" t="s">
        <v>133</v>
      </c>
      <c r="R107" s="9" t="s">
        <v>17</v>
      </c>
      <c r="S107" s="9" t="s">
        <v>1829</v>
      </c>
      <c r="W107" s="23"/>
    </row>
    <row r="108" spans="1:23" ht="51.5" customHeight="1" x14ac:dyDescent="0.35">
      <c r="A108" s="9" t="s">
        <v>1452</v>
      </c>
      <c r="B108" s="9" t="s">
        <v>6</v>
      </c>
      <c r="C108" s="9" t="s">
        <v>217</v>
      </c>
      <c r="D108" s="9" t="str">
        <f>B108&amp;" - "&amp;C108</f>
        <v>Input - Energy</v>
      </c>
      <c r="E108" s="9" t="s">
        <v>8</v>
      </c>
      <c r="G108" s="9" t="s">
        <v>1086</v>
      </c>
      <c r="H108" s="9" t="str">
        <f>IF(E108="x","Economic - "&amp;G108,"Environmental - "&amp;G108)</f>
        <v>Economic - Cost</v>
      </c>
      <c r="I108" s="12" t="s">
        <v>241</v>
      </c>
      <c r="J108" s="9" t="s">
        <v>242</v>
      </c>
      <c r="K108" s="9" t="s">
        <v>10</v>
      </c>
      <c r="L108" s="9" t="s">
        <v>16</v>
      </c>
      <c r="M108" s="9" t="s">
        <v>468</v>
      </c>
      <c r="N108" s="9">
        <f>LEN(O108) - LEN(SUBSTITUTE(O108, ";", ""))+1</f>
        <v>1</v>
      </c>
      <c r="O108" s="9" t="s">
        <v>38</v>
      </c>
      <c r="P108" s="9" t="s">
        <v>39</v>
      </c>
      <c r="Q108" s="9" t="s">
        <v>40</v>
      </c>
      <c r="R108" s="9" t="s">
        <v>17</v>
      </c>
      <c r="S108" s="9" t="s">
        <v>1825</v>
      </c>
      <c r="W108" s="23"/>
    </row>
    <row r="109" spans="1:23" ht="51.5" customHeight="1" x14ac:dyDescent="0.35">
      <c r="A109" s="9" t="s">
        <v>1453</v>
      </c>
      <c r="B109" s="9" t="s">
        <v>6</v>
      </c>
      <c r="C109" s="9" t="s">
        <v>217</v>
      </c>
      <c r="D109" s="9" t="str">
        <f>B109&amp;" - "&amp;C109</f>
        <v>Input - Energy</v>
      </c>
      <c r="E109" s="9" t="s">
        <v>8</v>
      </c>
      <c r="G109" s="9" t="s">
        <v>1086</v>
      </c>
      <c r="H109" s="9" t="str">
        <f>IF(E109="x","Economic - "&amp;G109,"Environmental - "&amp;G109)</f>
        <v>Economic - Cost</v>
      </c>
      <c r="I109" s="12" t="s">
        <v>245</v>
      </c>
      <c r="J109" s="9" t="s">
        <v>246</v>
      </c>
      <c r="K109" s="9" t="s">
        <v>10</v>
      </c>
      <c r="L109" s="9" t="s">
        <v>19</v>
      </c>
      <c r="M109" s="9" t="s">
        <v>468</v>
      </c>
      <c r="N109" s="9">
        <f>LEN(O109) - LEN(SUBSTITUTE(O109, ";", ""))+1</f>
        <v>1</v>
      </c>
      <c r="O109" s="9" t="s">
        <v>38</v>
      </c>
      <c r="P109" s="9" t="s">
        <v>39</v>
      </c>
      <c r="Q109" s="9" t="s">
        <v>40</v>
      </c>
      <c r="R109" s="9" t="s">
        <v>17</v>
      </c>
      <c r="S109" s="9" t="s">
        <v>1825</v>
      </c>
      <c r="W109" s="23"/>
    </row>
    <row r="110" spans="1:23" ht="51.5" customHeight="1" x14ac:dyDescent="0.35">
      <c r="A110" s="9" t="s">
        <v>1454</v>
      </c>
      <c r="B110" s="9" t="s">
        <v>6</v>
      </c>
      <c r="C110" s="9" t="s">
        <v>217</v>
      </c>
      <c r="D110" s="9" t="str">
        <f>B110&amp;" - "&amp;C110</f>
        <v>Input - Energy</v>
      </c>
      <c r="F110" s="9" t="s">
        <v>8</v>
      </c>
      <c r="G110" s="9" t="s">
        <v>1199</v>
      </c>
      <c r="H110" s="9" t="str">
        <f>IF(E110="x","Economic - "&amp;G110,"Environmental - "&amp;G110)</f>
        <v>Environmental - Climate Change</v>
      </c>
      <c r="I110" s="12" t="s">
        <v>247</v>
      </c>
      <c r="J110" s="9" t="s">
        <v>248</v>
      </c>
      <c r="K110" s="9" t="s">
        <v>10</v>
      </c>
      <c r="L110" s="9" t="s">
        <v>220</v>
      </c>
      <c r="M110" s="9" t="s">
        <v>221</v>
      </c>
      <c r="N110" s="9">
        <f>LEN(O110) - LEN(SUBSTITUTE(O110, ";", ""))+1</f>
        <v>9</v>
      </c>
      <c r="O110" s="9" t="s">
        <v>2043</v>
      </c>
      <c r="P110" s="9" t="s">
        <v>14</v>
      </c>
      <c r="Q110" s="9" t="s">
        <v>2110</v>
      </c>
      <c r="R110" s="9" t="s">
        <v>1283</v>
      </c>
      <c r="S110" s="9" t="s">
        <v>1826</v>
      </c>
      <c r="W110" s="23"/>
    </row>
    <row r="111" spans="1:23" ht="51.5" customHeight="1" x14ac:dyDescent="0.35">
      <c r="A111" s="9" t="s">
        <v>1455</v>
      </c>
      <c r="B111" s="9" t="s">
        <v>6</v>
      </c>
      <c r="C111" s="9" t="s">
        <v>217</v>
      </c>
      <c r="D111" s="9" t="str">
        <f>B111&amp;" - "&amp;C111</f>
        <v>Input - Energy</v>
      </c>
      <c r="F111" s="9" t="s">
        <v>8</v>
      </c>
      <c r="G111" s="9" t="s">
        <v>1199</v>
      </c>
      <c r="H111" s="9" t="str">
        <f>IF(E111="x","Economic - "&amp;G111,"Environmental - "&amp;G111)</f>
        <v>Environmental - Climate Change</v>
      </c>
      <c r="I111" s="12" t="s">
        <v>249</v>
      </c>
      <c r="J111" s="9" t="s">
        <v>1092</v>
      </c>
      <c r="K111" s="9" t="s">
        <v>10</v>
      </c>
      <c r="L111" s="9" t="s">
        <v>16</v>
      </c>
      <c r="M111" s="9" t="s">
        <v>468</v>
      </c>
      <c r="N111" s="9">
        <f>LEN(O111) - LEN(SUBSTITUTE(O111, ";", ""))+1</f>
        <v>12</v>
      </c>
      <c r="O111" s="9" t="s">
        <v>1967</v>
      </c>
      <c r="P111" s="9" t="s">
        <v>50</v>
      </c>
      <c r="Q111" s="9" t="s">
        <v>2111</v>
      </c>
      <c r="R111" s="9" t="s">
        <v>1286</v>
      </c>
      <c r="S111" s="9" t="s">
        <v>1823</v>
      </c>
      <c r="W111" s="23"/>
    </row>
    <row r="112" spans="1:23" ht="51.5" customHeight="1" x14ac:dyDescent="0.35">
      <c r="A112" s="9" t="s">
        <v>1456</v>
      </c>
      <c r="B112" s="9" t="s">
        <v>6</v>
      </c>
      <c r="C112" s="9" t="s">
        <v>217</v>
      </c>
      <c r="D112" s="9" t="str">
        <f>B112&amp;" - "&amp;C112</f>
        <v>Input - Energy</v>
      </c>
      <c r="F112" s="9" t="s">
        <v>8</v>
      </c>
      <c r="G112" s="9" t="s">
        <v>1199</v>
      </c>
      <c r="H112" s="9" t="str">
        <f>IF(E112="x","Economic - "&amp;G112,"Environmental - "&amp;G112)</f>
        <v>Environmental - Climate Change</v>
      </c>
      <c r="I112" s="12" t="s">
        <v>250</v>
      </c>
      <c r="J112" s="9" t="s">
        <v>251</v>
      </c>
      <c r="K112" s="9" t="s">
        <v>10</v>
      </c>
      <c r="L112" s="9" t="s">
        <v>220</v>
      </c>
      <c r="M112" s="9" t="s">
        <v>468</v>
      </c>
      <c r="N112" s="9">
        <f>LEN(O112) - LEN(SUBSTITUTE(O112, ";", ""))+1</f>
        <v>2</v>
      </c>
      <c r="O112" s="9" t="s">
        <v>252</v>
      </c>
      <c r="P112" s="9" t="s">
        <v>39</v>
      </c>
      <c r="Q112" s="9" t="s">
        <v>2108</v>
      </c>
      <c r="R112" s="9" t="s">
        <v>17</v>
      </c>
      <c r="S112" s="9" t="s">
        <v>1830</v>
      </c>
      <c r="W112" s="23"/>
    </row>
    <row r="113" spans="1:23" ht="51.5" customHeight="1" x14ac:dyDescent="0.35">
      <c r="A113" s="9" t="s">
        <v>1457</v>
      </c>
      <c r="B113" s="9" t="s">
        <v>6</v>
      </c>
      <c r="C113" s="9" t="s">
        <v>217</v>
      </c>
      <c r="D113" s="9" t="str">
        <f>B113&amp;" - "&amp;C113</f>
        <v>Input - Energy</v>
      </c>
      <c r="F113" s="9" t="s">
        <v>8</v>
      </c>
      <c r="G113" s="9" t="s">
        <v>1199</v>
      </c>
      <c r="H113" s="9" t="str">
        <f>IF(E113="x","Economic - "&amp;G113,"Environmental - "&amp;G113)</f>
        <v>Environmental - Climate Change</v>
      </c>
      <c r="I113" s="12" t="s">
        <v>253</v>
      </c>
      <c r="J113" s="9" t="s">
        <v>254</v>
      </c>
      <c r="K113" s="9" t="s">
        <v>10</v>
      </c>
      <c r="L113" s="9" t="s">
        <v>220</v>
      </c>
      <c r="M113" s="9" t="s">
        <v>468</v>
      </c>
      <c r="N113" s="9">
        <f>LEN(O113) - LEN(SUBSTITUTE(O113, ";", ""))+1</f>
        <v>1</v>
      </c>
      <c r="O113" s="9" t="s">
        <v>255</v>
      </c>
      <c r="P113" s="9" t="s">
        <v>39</v>
      </c>
      <c r="Q113" s="9" t="s">
        <v>2112</v>
      </c>
      <c r="R113" s="9" t="s">
        <v>17</v>
      </c>
      <c r="S113" s="9" t="s">
        <v>1830</v>
      </c>
      <c r="W113" s="23"/>
    </row>
    <row r="114" spans="1:23" ht="51.5" customHeight="1" x14ac:dyDescent="0.35">
      <c r="A114" s="9" t="s">
        <v>1458</v>
      </c>
      <c r="B114" s="9" t="s">
        <v>6</v>
      </c>
      <c r="C114" s="9" t="s">
        <v>217</v>
      </c>
      <c r="D114" s="9" t="str">
        <f>B114&amp;" - "&amp;C114</f>
        <v>Input - Energy</v>
      </c>
      <c r="F114" s="9" t="s">
        <v>8</v>
      </c>
      <c r="G114" s="9" t="s">
        <v>1199</v>
      </c>
      <c r="H114" s="9" t="str">
        <f>IF(E114="x","Economic - "&amp;G114,"Environmental - "&amp;G114)</f>
        <v>Environmental - Climate Change</v>
      </c>
      <c r="I114" s="12" t="s">
        <v>256</v>
      </c>
      <c r="J114" s="9" t="s">
        <v>1239</v>
      </c>
      <c r="K114" s="9" t="s">
        <v>10</v>
      </c>
      <c r="L114" s="9" t="s">
        <v>1216</v>
      </c>
      <c r="M114" s="9" t="s">
        <v>468</v>
      </c>
      <c r="N114" s="9">
        <f>LEN(O114) - LEN(SUBSTITUTE(O114, ";", ""))+1</f>
        <v>1</v>
      </c>
      <c r="O114" s="9" t="s">
        <v>257</v>
      </c>
      <c r="P114" s="9" t="s">
        <v>39</v>
      </c>
      <c r="Q114" s="9" t="s">
        <v>258</v>
      </c>
      <c r="R114" s="9" t="s">
        <v>17</v>
      </c>
      <c r="S114" s="9" t="s">
        <v>1828</v>
      </c>
      <c r="W114" s="23"/>
    </row>
    <row r="115" spans="1:23" ht="51.5" customHeight="1" x14ac:dyDescent="0.35">
      <c r="A115" s="9" t="s">
        <v>1459</v>
      </c>
      <c r="B115" s="9" t="s">
        <v>6</v>
      </c>
      <c r="C115" s="9" t="s">
        <v>217</v>
      </c>
      <c r="D115" s="9" t="str">
        <f>B115&amp;" - "&amp;C115</f>
        <v>Input - Energy</v>
      </c>
      <c r="F115" s="9" t="s">
        <v>8</v>
      </c>
      <c r="G115" s="9" t="s">
        <v>1199</v>
      </c>
      <c r="H115" s="9" t="str">
        <f>IF(E115="x","Economic - "&amp;G115,"Environmental - "&amp;G115)</f>
        <v>Environmental - Climate Change</v>
      </c>
      <c r="I115" s="12" t="s">
        <v>259</v>
      </c>
      <c r="J115" s="9" t="s">
        <v>260</v>
      </c>
      <c r="K115" s="9" t="s">
        <v>10</v>
      </c>
      <c r="L115" s="9" t="s">
        <v>220</v>
      </c>
      <c r="M115" s="9" t="s">
        <v>468</v>
      </c>
      <c r="N115" s="9">
        <f>LEN(O115) - LEN(SUBSTITUTE(O115, ";", ""))+1</f>
        <v>1</v>
      </c>
      <c r="O115" s="9" t="s">
        <v>28</v>
      </c>
      <c r="P115" s="9" t="s">
        <v>29</v>
      </c>
      <c r="Q115" s="9" t="s">
        <v>30</v>
      </c>
      <c r="R115" s="9" t="s">
        <v>31</v>
      </c>
      <c r="S115" s="9" t="s">
        <v>17</v>
      </c>
      <c r="W115" s="23"/>
    </row>
    <row r="116" spans="1:23" ht="51.5" customHeight="1" x14ac:dyDescent="0.35">
      <c r="A116" s="9" t="s">
        <v>1460</v>
      </c>
      <c r="B116" s="9" t="s">
        <v>6</v>
      </c>
      <c r="C116" s="9" t="s">
        <v>217</v>
      </c>
      <c r="D116" s="9" t="str">
        <f>B116&amp;" - "&amp;C116</f>
        <v>Input - Energy</v>
      </c>
      <c r="F116" s="9" t="s">
        <v>8</v>
      </c>
      <c r="G116" s="9" t="s">
        <v>1199</v>
      </c>
      <c r="H116" s="9" t="str">
        <f>IF(E116="x","Economic - "&amp;G116,"Environmental - "&amp;G116)</f>
        <v>Environmental - Climate Change</v>
      </c>
      <c r="I116" s="12" t="s">
        <v>261</v>
      </c>
      <c r="J116" s="9" t="s">
        <v>262</v>
      </c>
      <c r="K116" s="9" t="s">
        <v>10</v>
      </c>
      <c r="L116" s="9" t="s">
        <v>220</v>
      </c>
      <c r="M116" s="9" t="s">
        <v>468</v>
      </c>
      <c r="N116" s="9">
        <f>LEN(O116) - LEN(SUBSTITUTE(O116, ";", ""))+1</f>
        <v>1</v>
      </c>
      <c r="O116" s="9" t="s">
        <v>28</v>
      </c>
      <c r="P116" s="9" t="s">
        <v>29</v>
      </c>
      <c r="Q116" s="9" t="s">
        <v>30</v>
      </c>
      <c r="R116" s="9" t="s">
        <v>31</v>
      </c>
      <c r="S116" s="9" t="s">
        <v>17</v>
      </c>
      <c r="W116" s="23"/>
    </row>
    <row r="117" spans="1:23" ht="51.5" customHeight="1" x14ac:dyDescent="0.35">
      <c r="A117" s="9" t="s">
        <v>1461</v>
      </c>
      <c r="B117" s="9" t="s">
        <v>6</v>
      </c>
      <c r="C117" s="9" t="s">
        <v>217</v>
      </c>
      <c r="D117" s="9" t="str">
        <f>B117&amp;" - "&amp;C117</f>
        <v>Input - Energy</v>
      </c>
      <c r="F117" s="9" t="s">
        <v>8</v>
      </c>
      <c r="G117" s="9" t="s">
        <v>1199</v>
      </c>
      <c r="H117" s="9" t="str">
        <f>IF(E117="x","Economic - "&amp;G117,"Environmental - "&amp;G117)</f>
        <v>Environmental - Climate Change</v>
      </c>
      <c r="I117" s="12" t="s">
        <v>263</v>
      </c>
      <c r="J117" s="9" t="s">
        <v>264</v>
      </c>
      <c r="K117" s="9" t="s">
        <v>10</v>
      </c>
      <c r="L117" s="9" t="s">
        <v>220</v>
      </c>
      <c r="M117" s="9" t="s">
        <v>468</v>
      </c>
      <c r="N117" s="9">
        <f>LEN(O117) - LEN(SUBSTITUTE(O117, ";", ""))+1</f>
        <v>1</v>
      </c>
      <c r="O117" s="9" t="s">
        <v>28</v>
      </c>
      <c r="P117" s="9" t="s">
        <v>29</v>
      </c>
      <c r="Q117" s="9" t="s">
        <v>30</v>
      </c>
      <c r="R117" s="9" t="s">
        <v>31</v>
      </c>
      <c r="S117" s="9" t="s">
        <v>17</v>
      </c>
      <c r="W117" s="23"/>
    </row>
    <row r="118" spans="1:23" ht="51.5" customHeight="1" x14ac:dyDescent="0.35">
      <c r="A118" s="9" t="s">
        <v>1462</v>
      </c>
      <c r="B118" s="9" t="s">
        <v>6</v>
      </c>
      <c r="C118" s="9" t="s">
        <v>217</v>
      </c>
      <c r="D118" s="9" t="str">
        <f>B118&amp;" - "&amp;C118</f>
        <v>Input - Energy</v>
      </c>
      <c r="F118" s="9" t="s">
        <v>8</v>
      </c>
      <c r="G118" s="9" t="s">
        <v>1199</v>
      </c>
      <c r="H118" s="9" t="str">
        <f>IF(E118="x","Economic - "&amp;G118,"Environmental - "&amp;G118)</f>
        <v>Environmental - Climate Change</v>
      </c>
      <c r="I118" s="12" t="s">
        <v>265</v>
      </c>
      <c r="J118" s="9" t="s">
        <v>1105</v>
      </c>
      <c r="K118" s="9" t="s">
        <v>10</v>
      </c>
      <c r="L118" s="9" t="s">
        <v>220</v>
      </c>
      <c r="M118" s="9" t="s">
        <v>468</v>
      </c>
      <c r="N118" s="9">
        <f>LEN(O118) - LEN(SUBSTITUTE(O118, ";", ""))+1</f>
        <v>3</v>
      </c>
      <c r="O118" s="9" t="s">
        <v>2039</v>
      </c>
      <c r="P118" s="9" t="s">
        <v>165</v>
      </c>
      <c r="Q118" s="9" t="s">
        <v>2113</v>
      </c>
      <c r="R118" s="9" t="s">
        <v>1287</v>
      </c>
      <c r="S118" s="9" t="s">
        <v>1827</v>
      </c>
      <c r="W118" s="23"/>
    </row>
    <row r="119" spans="1:23" ht="51.5" customHeight="1" x14ac:dyDescent="0.35">
      <c r="A119" s="9" t="s">
        <v>1463</v>
      </c>
      <c r="B119" s="9" t="s">
        <v>6</v>
      </c>
      <c r="C119" s="9" t="s">
        <v>217</v>
      </c>
      <c r="D119" s="9" t="str">
        <f>B119&amp;" - "&amp;C119</f>
        <v>Input - Energy</v>
      </c>
      <c r="F119" s="9" t="s">
        <v>8</v>
      </c>
      <c r="G119" s="9" t="s">
        <v>1199</v>
      </c>
      <c r="H119" s="9" t="str">
        <f>IF(E119="x","Economic - "&amp;G119,"Environmental - "&amp;G119)</f>
        <v>Environmental - Climate Change</v>
      </c>
      <c r="I119" s="12" t="s">
        <v>268</v>
      </c>
      <c r="J119" s="9" t="s">
        <v>1115</v>
      </c>
      <c r="K119" s="9" t="s">
        <v>10</v>
      </c>
      <c r="L119" s="9" t="s">
        <v>220</v>
      </c>
      <c r="M119" s="9" t="s">
        <v>221</v>
      </c>
      <c r="N119" s="9">
        <f>LEN(O119) - LEN(SUBSTITUTE(O119, ";", ""))+1</f>
        <v>1</v>
      </c>
      <c r="O119" s="9" t="s">
        <v>58</v>
      </c>
      <c r="P119" s="9" t="s">
        <v>39</v>
      </c>
      <c r="Q119" s="9" t="s">
        <v>17</v>
      </c>
      <c r="R119" s="9" t="s">
        <v>17</v>
      </c>
      <c r="S119" s="9" t="s">
        <v>17</v>
      </c>
      <c r="W119" s="23"/>
    </row>
    <row r="120" spans="1:23" ht="51.5" customHeight="1" x14ac:dyDescent="0.35">
      <c r="A120" s="9" t="s">
        <v>1464</v>
      </c>
      <c r="B120" s="9" t="s">
        <v>6</v>
      </c>
      <c r="C120" s="9" t="s">
        <v>217</v>
      </c>
      <c r="D120" s="9" t="str">
        <f>B120&amp;" - "&amp;C120</f>
        <v>Input - Energy</v>
      </c>
      <c r="F120" s="9" t="s">
        <v>8</v>
      </c>
      <c r="G120" s="9" t="s">
        <v>1199</v>
      </c>
      <c r="H120" s="9" t="str">
        <f>IF(E120="x","Economic - "&amp;G120,"Environmental - "&amp;G120)</f>
        <v>Environmental - Climate Change</v>
      </c>
      <c r="I120" s="12" t="s">
        <v>269</v>
      </c>
      <c r="J120" s="9" t="s">
        <v>270</v>
      </c>
      <c r="K120" s="9" t="s">
        <v>10</v>
      </c>
      <c r="L120" s="9" t="s">
        <v>16</v>
      </c>
      <c r="M120" s="9" t="s">
        <v>468</v>
      </c>
      <c r="N120" s="9">
        <f>LEN(O120) - LEN(SUBSTITUTE(O120, ";", ""))+1</f>
        <v>1</v>
      </c>
      <c r="O120" s="9" t="s">
        <v>271</v>
      </c>
      <c r="P120" s="9" t="s">
        <v>39</v>
      </c>
      <c r="Q120" s="9" t="s">
        <v>1312</v>
      </c>
      <c r="R120" s="9" t="s">
        <v>17</v>
      </c>
      <c r="S120" s="9" t="s">
        <v>1821</v>
      </c>
      <c r="W120" s="23"/>
    </row>
    <row r="121" spans="1:23" ht="51.5" customHeight="1" x14ac:dyDescent="0.35">
      <c r="A121" s="9" t="s">
        <v>1465</v>
      </c>
      <c r="B121" s="9" t="s">
        <v>6</v>
      </c>
      <c r="C121" s="9" t="s">
        <v>217</v>
      </c>
      <c r="D121" s="9" t="str">
        <f>B121&amp;" - "&amp;C121</f>
        <v>Input - Energy</v>
      </c>
      <c r="F121" s="9" t="s">
        <v>8</v>
      </c>
      <c r="G121" s="9" t="s">
        <v>1199</v>
      </c>
      <c r="H121" s="9" t="str">
        <f>IF(E121="x","Economic - "&amp;G121,"Environmental - "&amp;G121)</f>
        <v>Environmental - Climate Change</v>
      </c>
      <c r="I121" s="12" t="s">
        <v>272</v>
      </c>
      <c r="J121" s="9" t="s">
        <v>273</v>
      </c>
      <c r="K121" s="9" t="s">
        <v>10</v>
      </c>
      <c r="L121" s="9" t="s">
        <v>220</v>
      </c>
      <c r="M121" s="9" t="s">
        <v>468</v>
      </c>
      <c r="N121" s="9">
        <f>LEN(O121) - LEN(SUBSTITUTE(O121, ";", ""))+1</f>
        <v>1</v>
      </c>
      <c r="O121" s="9" t="s">
        <v>274</v>
      </c>
      <c r="P121" s="9" t="s">
        <v>39</v>
      </c>
      <c r="Q121" s="9" t="s">
        <v>275</v>
      </c>
      <c r="R121" s="9" t="s">
        <v>17</v>
      </c>
      <c r="S121" s="9" t="s">
        <v>1831</v>
      </c>
      <c r="W121" s="23"/>
    </row>
    <row r="122" spans="1:23" ht="51.5" customHeight="1" x14ac:dyDescent="0.35">
      <c r="A122" s="9" t="s">
        <v>1466</v>
      </c>
      <c r="B122" s="9" t="s">
        <v>6</v>
      </c>
      <c r="C122" s="9" t="s">
        <v>217</v>
      </c>
      <c r="D122" s="9" t="str">
        <f>B122&amp;" - "&amp;C122</f>
        <v>Input - Energy</v>
      </c>
      <c r="F122" s="9" t="s">
        <v>8</v>
      </c>
      <c r="G122" s="9" t="s">
        <v>1199</v>
      </c>
      <c r="H122" s="9" t="str">
        <f>IF(E122="x","Economic - "&amp;G122,"Environmental - "&amp;G122)</f>
        <v>Environmental - Climate Change</v>
      </c>
      <c r="I122" s="12" t="s">
        <v>278</v>
      </c>
      <c r="J122" s="9" t="s">
        <v>279</v>
      </c>
      <c r="K122" s="9" t="s">
        <v>10</v>
      </c>
      <c r="L122" s="9" t="s">
        <v>220</v>
      </c>
      <c r="M122" s="9" t="s">
        <v>468</v>
      </c>
      <c r="N122" s="9">
        <f>LEN(O122) - LEN(SUBSTITUTE(O122, ";", ""))+1</f>
        <v>1</v>
      </c>
      <c r="O122" s="9" t="s">
        <v>255</v>
      </c>
      <c r="P122" s="9" t="s">
        <v>39</v>
      </c>
      <c r="Q122" s="9" t="s">
        <v>2112</v>
      </c>
      <c r="R122" s="9" t="s">
        <v>17</v>
      </c>
      <c r="S122" s="9" t="s">
        <v>1830</v>
      </c>
      <c r="W122" s="23"/>
    </row>
    <row r="123" spans="1:23" ht="51.5" customHeight="1" x14ac:dyDescent="0.35">
      <c r="A123" s="9" t="s">
        <v>1467</v>
      </c>
      <c r="B123" s="9" t="s">
        <v>6</v>
      </c>
      <c r="C123" s="9" t="s">
        <v>217</v>
      </c>
      <c r="D123" s="9" t="str">
        <f>B123&amp;" - "&amp;C123</f>
        <v>Input - Energy</v>
      </c>
      <c r="F123" s="9" t="s">
        <v>8</v>
      </c>
      <c r="G123" s="9" t="s">
        <v>1199</v>
      </c>
      <c r="H123" s="9" t="str">
        <f>IF(E123="x","Economic - "&amp;G123,"Environmental - "&amp;G123)</f>
        <v>Environmental - Climate Change</v>
      </c>
      <c r="I123" s="12" t="s">
        <v>280</v>
      </c>
      <c r="J123" s="9" t="s">
        <v>281</v>
      </c>
      <c r="K123" s="9" t="s">
        <v>10</v>
      </c>
      <c r="L123" s="9" t="s">
        <v>220</v>
      </c>
      <c r="M123" s="9" t="s">
        <v>468</v>
      </c>
      <c r="N123" s="9">
        <f>LEN(O123) - LEN(SUBSTITUTE(O123, ";", ""))+1</f>
        <v>6</v>
      </c>
      <c r="O123" s="9" t="s">
        <v>2040</v>
      </c>
      <c r="P123" s="9" t="s">
        <v>165</v>
      </c>
      <c r="Q123" s="9" t="s">
        <v>2114</v>
      </c>
      <c r="R123" s="9" t="s">
        <v>1287</v>
      </c>
      <c r="S123" s="9" t="s">
        <v>1823</v>
      </c>
      <c r="W123" s="23"/>
    </row>
    <row r="124" spans="1:23" ht="51.5" customHeight="1" x14ac:dyDescent="0.35">
      <c r="A124" s="9" t="s">
        <v>1468</v>
      </c>
      <c r="B124" s="9" t="s">
        <v>6</v>
      </c>
      <c r="C124" s="9" t="s">
        <v>217</v>
      </c>
      <c r="D124" s="9" t="str">
        <f>B124&amp;" - "&amp;C124</f>
        <v>Input - Energy</v>
      </c>
      <c r="F124" s="9" t="s">
        <v>8</v>
      </c>
      <c r="G124" s="9" t="s">
        <v>1199</v>
      </c>
      <c r="H124" s="9" t="str">
        <f>IF(E124="x","Economic - "&amp;G124,"Environmental - "&amp;G124)</f>
        <v>Environmental - Climate Change</v>
      </c>
      <c r="I124" s="12" t="s">
        <v>282</v>
      </c>
      <c r="J124" s="9" t="s">
        <v>283</v>
      </c>
      <c r="K124" s="9" t="s">
        <v>10</v>
      </c>
      <c r="L124" s="9" t="s">
        <v>220</v>
      </c>
      <c r="M124" s="9" t="s">
        <v>468</v>
      </c>
      <c r="N124" s="9">
        <f>LEN(O124) - LEN(SUBSTITUTE(O124, ";", ""))+1</f>
        <v>2</v>
      </c>
      <c r="O124" s="9" t="s">
        <v>1068</v>
      </c>
      <c r="P124" s="9" t="s">
        <v>65</v>
      </c>
      <c r="Q124" s="9" t="s">
        <v>305</v>
      </c>
      <c r="R124" s="9" t="s">
        <v>1302</v>
      </c>
      <c r="S124" s="9" t="s">
        <v>1827</v>
      </c>
      <c r="W124" s="23"/>
    </row>
    <row r="125" spans="1:23" ht="51.5" customHeight="1" x14ac:dyDescent="0.35">
      <c r="A125" s="9" t="s">
        <v>1469</v>
      </c>
      <c r="B125" s="9" t="s">
        <v>6</v>
      </c>
      <c r="C125" s="9" t="s">
        <v>217</v>
      </c>
      <c r="D125" s="9" t="str">
        <f>B125&amp;" - "&amp;C125</f>
        <v>Input - Energy</v>
      </c>
      <c r="F125" s="9" t="s">
        <v>8</v>
      </c>
      <c r="G125" s="9" t="s">
        <v>1199</v>
      </c>
      <c r="H125" s="9" t="str">
        <f>IF(E125="x","Economic - "&amp;G125,"Environmental - "&amp;G125)</f>
        <v>Environmental - Climate Change</v>
      </c>
      <c r="I125" s="12" t="s">
        <v>284</v>
      </c>
      <c r="J125" s="9" t="s">
        <v>285</v>
      </c>
      <c r="K125" s="9" t="s">
        <v>10</v>
      </c>
      <c r="L125" s="9" t="s">
        <v>220</v>
      </c>
      <c r="M125" s="9" t="s">
        <v>468</v>
      </c>
      <c r="N125" s="9">
        <f>LEN(O125) - LEN(SUBSTITUTE(O125, ";", ""))+1</f>
        <v>2</v>
      </c>
      <c r="O125" s="9" t="s">
        <v>1067</v>
      </c>
      <c r="P125" s="9" t="s">
        <v>148</v>
      </c>
      <c r="Q125" s="9" t="s">
        <v>286</v>
      </c>
      <c r="R125" s="9" t="s">
        <v>1319</v>
      </c>
      <c r="S125" s="9" t="s">
        <v>17</v>
      </c>
      <c r="W125" s="23"/>
    </row>
    <row r="126" spans="1:23" ht="51.5" customHeight="1" x14ac:dyDescent="0.35">
      <c r="A126" s="9" t="s">
        <v>1470</v>
      </c>
      <c r="B126" s="9" t="s">
        <v>6</v>
      </c>
      <c r="C126" s="9" t="s">
        <v>217</v>
      </c>
      <c r="D126" s="9" t="str">
        <f>B126&amp;" - "&amp;C126</f>
        <v>Input - Energy</v>
      </c>
      <c r="F126" s="9" t="s">
        <v>8</v>
      </c>
      <c r="G126" s="9" t="s">
        <v>1199</v>
      </c>
      <c r="H126" s="9" t="str">
        <f>IF(E126="x","Economic - "&amp;G126,"Environmental - "&amp;G126)</f>
        <v>Environmental - Climate Change</v>
      </c>
      <c r="I126" s="12" t="s">
        <v>266</v>
      </c>
      <c r="J126" s="9" t="s">
        <v>267</v>
      </c>
      <c r="K126" s="9" t="s">
        <v>10</v>
      </c>
      <c r="L126" s="9" t="s">
        <v>220</v>
      </c>
      <c r="M126" s="9" t="s">
        <v>468</v>
      </c>
      <c r="N126" s="9">
        <f>LEN(O126) - LEN(SUBSTITUTE(O126, ";", ""))+1</f>
        <v>1</v>
      </c>
      <c r="O126" s="9" t="s">
        <v>28</v>
      </c>
      <c r="P126" s="9" t="s">
        <v>29</v>
      </c>
      <c r="Q126" s="9" t="s">
        <v>30</v>
      </c>
      <c r="R126" s="9" t="s">
        <v>31</v>
      </c>
      <c r="S126" s="9" t="s">
        <v>17</v>
      </c>
      <c r="W126" s="23"/>
    </row>
    <row r="127" spans="1:23" ht="51.5" customHeight="1" x14ac:dyDescent="0.35">
      <c r="A127" s="9" t="s">
        <v>1471</v>
      </c>
      <c r="B127" s="9" t="s">
        <v>6</v>
      </c>
      <c r="C127" s="9" t="s">
        <v>217</v>
      </c>
      <c r="D127" s="9" t="str">
        <f>B127&amp;" - "&amp;C127</f>
        <v>Input - Energy</v>
      </c>
      <c r="F127" s="9" t="s">
        <v>8</v>
      </c>
      <c r="G127" s="9" t="s">
        <v>1199</v>
      </c>
      <c r="H127" s="9" t="str">
        <f>IF(E127="x","Economic - "&amp;G127,"Environmental - "&amp;G127)</f>
        <v>Environmental - Climate Change</v>
      </c>
      <c r="I127" s="12" t="s">
        <v>287</v>
      </c>
      <c r="J127" s="9" t="s">
        <v>2163</v>
      </c>
      <c r="K127" s="9" t="s">
        <v>10</v>
      </c>
      <c r="L127" s="9" t="s">
        <v>224</v>
      </c>
      <c r="M127" s="9" t="s">
        <v>468</v>
      </c>
      <c r="N127" s="9">
        <f>LEN(O127) - LEN(SUBSTITUTE(O127, ";", ""))+1</f>
        <v>1</v>
      </c>
      <c r="O127" s="9" t="s">
        <v>115</v>
      </c>
      <c r="P127" s="9" t="s">
        <v>116</v>
      </c>
      <c r="Q127" s="9" t="s">
        <v>117</v>
      </c>
      <c r="R127" s="9" t="s">
        <v>118</v>
      </c>
      <c r="S127" s="9" t="s">
        <v>17</v>
      </c>
      <c r="W127" s="23"/>
    </row>
    <row r="128" spans="1:23" ht="51.5" customHeight="1" x14ac:dyDescent="0.35">
      <c r="A128" s="9" t="s">
        <v>1472</v>
      </c>
      <c r="B128" s="9" t="s">
        <v>6</v>
      </c>
      <c r="C128" s="9" t="s">
        <v>217</v>
      </c>
      <c r="D128" s="9" t="str">
        <f>B128&amp;" - "&amp;C128</f>
        <v>Input - Energy</v>
      </c>
      <c r="F128" s="9" t="s">
        <v>8</v>
      </c>
      <c r="G128" s="9" t="s">
        <v>1199</v>
      </c>
      <c r="H128" s="9" t="str">
        <f>IF(E128="x","Economic - "&amp;G128,"Environmental - "&amp;G128)</f>
        <v>Environmental - Climate Change</v>
      </c>
      <c r="I128" s="12" t="s">
        <v>288</v>
      </c>
      <c r="J128" s="9" t="s">
        <v>289</v>
      </c>
      <c r="K128" s="9" t="s">
        <v>10</v>
      </c>
      <c r="L128" s="9" t="s">
        <v>224</v>
      </c>
      <c r="M128" s="9" t="s">
        <v>468</v>
      </c>
      <c r="N128" s="9">
        <f>LEN(O128) - LEN(SUBSTITUTE(O128, ";", ""))+1</f>
        <v>1</v>
      </c>
      <c r="O128" s="9" t="s">
        <v>38</v>
      </c>
      <c r="P128" s="9" t="s">
        <v>39</v>
      </c>
      <c r="Q128" s="9" t="s">
        <v>40</v>
      </c>
      <c r="R128" s="9" t="s">
        <v>17</v>
      </c>
      <c r="S128" s="9" t="s">
        <v>1825</v>
      </c>
      <c r="W128" s="23"/>
    </row>
    <row r="129" spans="1:23" ht="51.5" customHeight="1" x14ac:dyDescent="0.35">
      <c r="A129" s="9" t="s">
        <v>1473</v>
      </c>
      <c r="B129" s="9" t="s">
        <v>6</v>
      </c>
      <c r="C129" s="9" t="s">
        <v>217</v>
      </c>
      <c r="D129" s="9" t="str">
        <f>B129&amp;" - "&amp;C129</f>
        <v>Input - Energy</v>
      </c>
      <c r="F129" s="9" t="s">
        <v>8</v>
      </c>
      <c r="G129" s="9" t="s">
        <v>1199</v>
      </c>
      <c r="H129" s="9" t="str">
        <f>IF(E129="x","Economic - "&amp;G129,"Environmental - "&amp;G129)</f>
        <v>Environmental - Climate Change</v>
      </c>
      <c r="I129" s="12" t="s">
        <v>290</v>
      </c>
      <c r="J129" s="9" t="s">
        <v>291</v>
      </c>
      <c r="K129" s="9" t="s">
        <v>10</v>
      </c>
      <c r="L129" s="9" t="s">
        <v>224</v>
      </c>
      <c r="M129" s="9" t="s">
        <v>468</v>
      </c>
      <c r="N129" s="9">
        <f>LEN(O129) - LEN(SUBSTITUTE(O129, ";", ""))+1</f>
        <v>2</v>
      </c>
      <c r="O129" s="9" t="s">
        <v>952</v>
      </c>
      <c r="P129" s="9" t="s">
        <v>78</v>
      </c>
      <c r="Q129" s="9" t="s">
        <v>117</v>
      </c>
      <c r="R129" s="9" t="s">
        <v>118</v>
      </c>
      <c r="S129" s="9" t="s">
        <v>17</v>
      </c>
      <c r="W129" s="23"/>
    </row>
    <row r="130" spans="1:23" ht="51.5" customHeight="1" x14ac:dyDescent="0.35">
      <c r="A130" s="9" t="s">
        <v>1474</v>
      </c>
      <c r="B130" s="9" t="s">
        <v>6</v>
      </c>
      <c r="C130" s="9" t="s">
        <v>217</v>
      </c>
      <c r="D130" s="9" t="str">
        <f>B130&amp;" - "&amp;C130</f>
        <v>Input - Energy</v>
      </c>
      <c r="F130" s="9" t="s">
        <v>8</v>
      </c>
      <c r="G130" s="9" t="s">
        <v>1199</v>
      </c>
      <c r="H130" s="9" t="str">
        <f>IF(E130="x","Economic - "&amp;G130,"Environmental - "&amp;G130)</f>
        <v>Environmental - Climate Change</v>
      </c>
      <c r="I130" s="12" t="s">
        <v>292</v>
      </c>
      <c r="J130" s="9" t="s">
        <v>293</v>
      </c>
      <c r="K130" s="9" t="s">
        <v>10</v>
      </c>
      <c r="L130" s="9" t="s">
        <v>224</v>
      </c>
      <c r="M130" s="9" t="s">
        <v>468</v>
      </c>
      <c r="N130" s="9">
        <f>LEN(O130) - LEN(SUBSTITUTE(O130, ";", ""))+1</f>
        <v>1</v>
      </c>
      <c r="O130" s="9" t="s">
        <v>895</v>
      </c>
      <c r="P130" s="9" t="s">
        <v>84</v>
      </c>
      <c r="Q130" s="9" t="s">
        <v>117</v>
      </c>
      <c r="R130" s="9" t="s">
        <v>118</v>
      </c>
      <c r="S130" s="9" t="s">
        <v>17</v>
      </c>
      <c r="W130" s="23"/>
    </row>
    <row r="131" spans="1:23" ht="51.5" customHeight="1" x14ac:dyDescent="0.35">
      <c r="A131" s="9" t="s">
        <v>1489</v>
      </c>
      <c r="B131" s="9" t="s">
        <v>6</v>
      </c>
      <c r="C131" s="9" t="s">
        <v>311</v>
      </c>
      <c r="D131" s="9" t="str">
        <f>B131&amp;" - "&amp;C131</f>
        <v>Input - Facilities and equipment</v>
      </c>
      <c r="F131" s="9" t="s">
        <v>8</v>
      </c>
      <c r="G131" s="9" t="s">
        <v>1089</v>
      </c>
      <c r="H131" s="9" t="str">
        <f>IF(E131="x","Economic - "&amp;G131,"Environmental - "&amp;G131)</f>
        <v>Environmental - Biodiversity &amp; Ecosystems</v>
      </c>
      <c r="I131" s="12" t="s">
        <v>312</v>
      </c>
      <c r="J131" s="9" t="s">
        <v>313</v>
      </c>
      <c r="K131" s="9" t="s">
        <v>10</v>
      </c>
      <c r="L131" s="9" t="s">
        <v>37</v>
      </c>
      <c r="M131" s="9" t="s">
        <v>468</v>
      </c>
      <c r="N131" s="9">
        <f>LEN(O131) - LEN(SUBSTITUTE(O131, ";", ""))+1</f>
        <v>11</v>
      </c>
      <c r="O131" s="9" t="s">
        <v>2010</v>
      </c>
      <c r="P131" s="9" t="s">
        <v>14</v>
      </c>
      <c r="Q131" s="9" t="s">
        <v>2115</v>
      </c>
      <c r="R131" s="9" t="s">
        <v>1322</v>
      </c>
      <c r="S131" s="9" t="s">
        <v>1823</v>
      </c>
      <c r="W131" s="23"/>
    </row>
    <row r="132" spans="1:23" ht="51.5" customHeight="1" x14ac:dyDescent="0.35">
      <c r="A132" s="9" t="s">
        <v>2058</v>
      </c>
      <c r="B132" s="9" t="s">
        <v>6</v>
      </c>
      <c r="C132" s="9" t="s">
        <v>311</v>
      </c>
      <c r="D132" s="9" t="str">
        <f>B132&amp;" - "&amp;C132</f>
        <v>Input - Facilities and equipment</v>
      </c>
      <c r="F132" s="9" t="s">
        <v>8</v>
      </c>
      <c r="G132" s="9" t="s">
        <v>1089</v>
      </c>
      <c r="H132" s="9" t="str">
        <f>IF(E132="x","Economic - "&amp;G132,"Environmental - "&amp;G132)</f>
        <v>Environmental - Biodiversity &amp; Ecosystems</v>
      </c>
      <c r="I132" s="12" t="s">
        <v>317</v>
      </c>
      <c r="J132" s="9" t="s">
        <v>318</v>
      </c>
      <c r="K132" s="9" t="s">
        <v>10</v>
      </c>
      <c r="L132" s="9" t="s">
        <v>16</v>
      </c>
      <c r="M132" s="9" t="s">
        <v>468</v>
      </c>
      <c r="N132" s="9">
        <f>LEN(O132) - LEN(SUBSTITUTE(O132, ";", ""))+1</f>
        <v>3</v>
      </c>
      <c r="O132" s="9" t="s">
        <v>1060</v>
      </c>
      <c r="P132" s="9" t="s">
        <v>50</v>
      </c>
      <c r="Q132" s="9" t="s">
        <v>1321</v>
      </c>
      <c r="R132" s="9" t="s">
        <v>1322</v>
      </c>
      <c r="S132" s="9" t="s">
        <v>1826</v>
      </c>
      <c r="W132" s="23"/>
    </row>
    <row r="133" spans="1:23" ht="51.5" customHeight="1" x14ac:dyDescent="0.35">
      <c r="A133" s="9" t="s">
        <v>2059</v>
      </c>
      <c r="B133" s="9" t="s">
        <v>6</v>
      </c>
      <c r="C133" s="9" t="s">
        <v>311</v>
      </c>
      <c r="D133" s="9" t="str">
        <f>B133&amp;" - "&amp;C133</f>
        <v>Input - Facilities and equipment</v>
      </c>
      <c r="F133" s="9" t="s">
        <v>8</v>
      </c>
      <c r="G133" s="9" t="s">
        <v>1089</v>
      </c>
      <c r="H133" s="9" t="str">
        <f>IF(E133="x","Economic - "&amp;G133,"Environmental - "&amp;G133)</f>
        <v>Environmental - Biodiversity &amp; Ecosystems</v>
      </c>
      <c r="I133" s="12" t="s">
        <v>319</v>
      </c>
      <c r="J133" s="9" t="s">
        <v>320</v>
      </c>
      <c r="K133" s="9" t="s">
        <v>10</v>
      </c>
      <c r="L133" s="9" t="s">
        <v>16</v>
      </c>
      <c r="M133" s="9" t="s">
        <v>468</v>
      </c>
      <c r="N133" s="9">
        <f>LEN(O133) - LEN(SUBSTITUTE(O133, ";", ""))+1</f>
        <v>2</v>
      </c>
      <c r="O133" s="9" t="s">
        <v>180</v>
      </c>
      <c r="P133" s="9" t="s">
        <v>84</v>
      </c>
      <c r="Q133" s="9" t="s">
        <v>1309</v>
      </c>
      <c r="R133" s="9" t="s">
        <v>1292</v>
      </c>
      <c r="S133" s="9" t="s">
        <v>17</v>
      </c>
      <c r="W133" s="23"/>
    </row>
    <row r="134" spans="1:23" ht="51.5" customHeight="1" x14ac:dyDescent="0.35">
      <c r="A134" s="9" t="s">
        <v>1490</v>
      </c>
      <c r="B134" s="9" t="s">
        <v>6</v>
      </c>
      <c r="C134" s="9" t="s">
        <v>311</v>
      </c>
      <c r="D134" s="9" t="str">
        <f>B134&amp;" - "&amp;C134</f>
        <v>Input - Facilities and equipment</v>
      </c>
      <c r="F134" s="9" t="s">
        <v>8</v>
      </c>
      <c r="G134" s="9" t="s">
        <v>1089</v>
      </c>
      <c r="H134" s="9" t="str">
        <f>IF(E134="x","Economic - "&amp;G134,"Environmental - "&amp;G134)</f>
        <v>Environmental - Biodiversity &amp; Ecosystems</v>
      </c>
      <c r="I134" s="12" t="s">
        <v>321</v>
      </c>
      <c r="J134" s="9" t="s">
        <v>322</v>
      </c>
      <c r="K134" s="9" t="s">
        <v>10</v>
      </c>
      <c r="L134" s="9" t="s">
        <v>37</v>
      </c>
      <c r="M134" s="9" t="s">
        <v>468</v>
      </c>
      <c r="N134" s="9">
        <f>LEN(O134) - LEN(SUBSTITUTE(O134, ";", ""))+1</f>
        <v>1</v>
      </c>
      <c r="O134" s="9" t="s">
        <v>323</v>
      </c>
      <c r="P134" s="9" t="s">
        <v>29</v>
      </c>
      <c r="Q134" s="9" t="s">
        <v>17</v>
      </c>
      <c r="R134" s="9" t="s">
        <v>17</v>
      </c>
      <c r="S134" s="9" t="s">
        <v>17</v>
      </c>
      <c r="W134" s="23"/>
    </row>
    <row r="135" spans="1:23" ht="51.5" customHeight="1" x14ac:dyDescent="0.35">
      <c r="A135" s="9" t="s">
        <v>1491</v>
      </c>
      <c r="B135" s="9" t="s">
        <v>6</v>
      </c>
      <c r="C135" s="9" t="s">
        <v>311</v>
      </c>
      <c r="D135" s="9" t="str">
        <f>B135&amp;" - "&amp;C135</f>
        <v>Input - Facilities and equipment</v>
      </c>
      <c r="F135" s="9" t="s">
        <v>8</v>
      </c>
      <c r="G135" s="9" t="s">
        <v>1089</v>
      </c>
      <c r="H135" s="9" t="str">
        <f>IF(E135="x","Economic - "&amp;G135,"Environmental - "&amp;G135)</f>
        <v>Environmental - Biodiversity &amp; Ecosystems</v>
      </c>
      <c r="I135" s="12" t="s">
        <v>324</v>
      </c>
      <c r="J135" s="9" t="s">
        <v>1156</v>
      </c>
      <c r="K135" s="9" t="s">
        <v>10</v>
      </c>
      <c r="L135" s="9" t="s">
        <v>37</v>
      </c>
      <c r="M135" s="9" t="s">
        <v>468</v>
      </c>
      <c r="N135" s="9">
        <f>LEN(O135) - LEN(SUBSTITUTE(O135, ";", ""))+1</f>
        <v>1</v>
      </c>
      <c r="O135" s="9" t="s">
        <v>323</v>
      </c>
      <c r="P135" s="9" t="s">
        <v>29</v>
      </c>
      <c r="Q135" s="9" t="s">
        <v>17</v>
      </c>
      <c r="R135" s="9" t="s">
        <v>17</v>
      </c>
      <c r="S135" s="9" t="s">
        <v>17</v>
      </c>
      <c r="W135" s="23"/>
    </row>
    <row r="136" spans="1:23" ht="51.5" customHeight="1" x14ac:dyDescent="0.35">
      <c r="A136" s="9" t="s">
        <v>1492</v>
      </c>
      <c r="B136" s="9" t="s">
        <v>6</v>
      </c>
      <c r="C136" s="9" t="s">
        <v>311</v>
      </c>
      <c r="D136" s="9" t="str">
        <f>B136&amp;" - "&amp;C136</f>
        <v>Input - Facilities and equipment</v>
      </c>
      <c r="F136" s="9" t="s">
        <v>8</v>
      </c>
      <c r="G136" s="9" t="s">
        <v>1089</v>
      </c>
      <c r="H136" s="9" t="str">
        <f>IF(E136="x","Economic - "&amp;G136,"Environmental - "&amp;G136)</f>
        <v>Environmental - Biodiversity &amp; Ecosystems</v>
      </c>
      <c r="I136" s="12" t="s">
        <v>325</v>
      </c>
      <c r="J136" s="9" t="s">
        <v>2166</v>
      </c>
      <c r="K136" s="9" t="s">
        <v>10</v>
      </c>
      <c r="L136" s="9" t="s">
        <v>37</v>
      </c>
      <c r="M136" s="9" t="s">
        <v>468</v>
      </c>
      <c r="N136" s="9">
        <f>LEN(O136) - LEN(SUBSTITUTE(O136, ";", ""))+1</f>
        <v>1</v>
      </c>
      <c r="O136" s="9" t="s">
        <v>323</v>
      </c>
      <c r="P136" s="9" t="s">
        <v>29</v>
      </c>
      <c r="Q136" s="9" t="s">
        <v>17</v>
      </c>
      <c r="R136" s="9" t="s">
        <v>17</v>
      </c>
      <c r="S136" s="9" t="s">
        <v>17</v>
      </c>
      <c r="W136" s="23"/>
    </row>
    <row r="137" spans="1:23" ht="51.5" customHeight="1" x14ac:dyDescent="0.35">
      <c r="A137" s="9" t="s">
        <v>1493</v>
      </c>
      <c r="B137" s="9" t="s">
        <v>6</v>
      </c>
      <c r="C137" s="9" t="s">
        <v>311</v>
      </c>
      <c r="D137" s="9" t="str">
        <f>B137&amp;" - "&amp;C137</f>
        <v>Input - Facilities and equipment</v>
      </c>
      <c r="F137" s="9" t="s">
        <v>8</v>
      </c>
      <c r="G137" s="9" t="s">
        <v>1089</v>
      </c>
      <c r="H137" s="9" t="str">
        <f>IF(E137="x","Economic - "&amp;G137,"Environmental - "&amp;G137)</f>
        <v>Environmental - Biodiversity &amp; Ecosystems</v>
      </c>
      <c r="I137" s="12" t="s">
        <v>326</v>
      </c>
      <c r="J137" s="9" t="s">
        <v>1157</v>
      </c>
      <c r="K137" s="9" t="s">
        <v>10</v>
      </c>
      <c r="L137" s="9" t="s">
        <v>16</v>
      </c>
      <c r="M137" s="9" t="s">
        <v>468</v>
      </c>
      <c r="N137" s="9">
        <f>LEN(O137) - LEN(SUBSTITUTE(O137, ";", ""))+1</f>
        <v>1</v>
      </c>
      <c r="O137" s="9" t="s">
        <v>58</v>
      </c>
      <c r="P137" s="9" t="s">
        <v>39</v>
      </c>
      <c r="Q137" s="9" t="s">
        <v>17</v>
      </c>
      <c r="R137" s="9" t="s">
        <v>17</v>
      </c>
      <c r="S137" s="9" t="s">
        <v>17</v>
      </c>
      <c r="W137" s="23"/>
    </row>
    <row r="138" spans="1:23" ht="51.5" customHeight="1" x14ac:dyDescent="0.35">
      <c r="A138" s="9" t="s">
        <v>1494</v>
      </c>
      <c r="B138" s="9" t="s">
        <v>6</v>
      </c>
      <c r="C138" s="9" t="s">
        <v>311</v>
      </c>
      <c r="D138" s="9" t="str">
        <f>B138&amp;" - "&amp;C138</f>
        <v>Input - Facilities and equipment</v>
      </c>
      <c r="E138" s="9" t="s">
        <v>8</v>
      </c>
      <c r="G138" s="9" t="s">
        <v>1086</v>
      </c>
      <c r="H138" s="9" t="str">
        <f>IF(E138="x","Economic - "&amp;G138,"Environmental - "&amp;G138)</f>
        <v>Economic - Cost</v>
      </c>
      <c r="I138" s="12" t="s">
        <v>329</v>
      </c>
      <c r="J138" s="9" t="s">
        <v>1158</v>
      </c>
      <c r="K138" s="9" t="s">
        <v>10</v>
      </c>
      <c r="L138" s="9" t="s">
        <v>1263</v>
      </c>
      <c r="M138" s="9" t="s">
        <v>468</v>
      </c>
      <c r="N138" s="9">
        <f>LEN(O138) - LEN(SUBSTITUTE(O138, ";", ""))+1</f>
        <v>1</v>
      </c>
      <c r="O138" s="9" t="s">
        <v>215</v>
      </c>
      <c r="P138" s="9" t="s">
        <v>84</v>
      </c>
      <c r="Q138" s="9" t="s">
        <v>17</v>
      </c>
      <c r="R138" s="9" t="s">
        <v>216</v>
      </c>
      <c r="S138" s="9" t="s">
        <v>17</v>
      </c>
      <c r="W138" s="23"/>
    </row>
    <row r="139" spans="1:23" ht="51.5" customHeight="1" x14ac:dyDescent="0.35">
      <c r="A139" s="9" t="s">
        <v>1495</v>
      </c>
      <c r="B139" s="9" t="s">
        <v>6</v>
      </c>
      <c r="C139" s="9" t="s">
        <v>311</v>
      </c>
      <c r="D139" s="9" t="str">
        <f>B139&amp;" - "&amp;C139</f>
        <v>Input - Facilities and equipment</v>
      </c>
      <c r="E139" s="9" t="s">
        <v>8</v>
      </c>
      <c r="G139" s="9" t="s">
        <v>1086</v>
      </c>
      <c r="H139" s="9" t="str">
        <f>IF(E139="x","Economic - "&amp;G139,"Environmental - "&amp;G139)</f>
        <v>Economic - Cost</v>
      </c>
      <c r="I139" s="12" t="s">
        <v>330</v>
      </c>
      <c r="J139" s="9" t="s">
        <v>331</v>
      </c>
      <c r="K139" s="9" t="s">
        <v>10</v>
      </c>
      <c r="L139" s="9" t="s">
        <v>19</v>
      </c>
      <c r="M139" s="9" t="s">
        <v>468</v>
      </c>
      <c r="N139" s="9">
        <f>LEN(O139) - LEN(SUBSTITUTE(O139, ";", ""))+1</f>
        <v>1</v>
      </c>
      <c r="O139" s="9" t="s">
        <v>303</v>
      </c>
      <c r="P139" s="9" t="s">
        <v>84</v>
      </c>
      <c r="Q139" s="9" t="s">
        <v>17</v>
      </c>
      <c r="R139" s="9" t="s">
        <v>17</v>
      </c>
      <c r="S139" s="9" t="s">
        <v>17</v>
      </c>
      <c r="W139" s="23"/>
    </row>
    <row r="140" spans="1:23" ht="51.5" customHeight="1" x14ac:dyDescent="0.35">
      <c r="A140" s="9" t="s">
        <v>1496</v>
      </c>
      <c r="B140" s="9" t="s">
        <v>6</v>
      </c>
      <c r="C140" s="9" t="s">
        <v>311</v>
      </c>
      <c r="D140" s="9" t="str">
        <f>B140&amp;" - "&amp;C140</f>
        <v>Input - Facilities and equipment</v>
      </c>
      <c r="E140" s="9" t="s">
        <v>8</v>
      </c>
      <c r="G140" s="9" t="s">
        <v>1086</v>
      </c>
      <c r="H140" s="9" t="str">
        <f>IF(E140="x","Economic - "&amp;G140,"Environmental - "&amp;G140)</f>
        <v>Economic - Cost</v>
      </c>
      <c r="I140" s="12" t="s">
        <v>332</v>
      </c>
      <c r="J140" s="9" t="s">
        <v>1117</v>
      </c>
      <c r="K140" s="9" t="s">
        <v>10</v>
      </c>
      <c r="L140" s="9" t="s">
        <v>19</v>
      </c>
      <c r="M140" s="9" t="s">
        <v>468</v>
      </c>
      <c r="N140" s="9">
        <f>LEN(O140) - LEN(SUBSTITUTE(O140, ";", ""))+1</f>
        <v>2</v>
      </c>
      <c r="O140" s="9" t="s">
        <v>1939</v>
      </c>
      <c r="P140" s="9" t="s">
        <v>78</v>
      </c>
      <c r="Q140" s="9" t="s">
        <v>333</v>
      </c>
      <c r="R140" s="9" t="s">
        <v>79</v>
      </c>
      <c r="S140" s="9" t="s">
        <v>17</v>
      </c>
      <c r="W140" s="23"/>
    </row>
    <row r="141" spans="1:23" ht="51.5" customHeight="1" x14ac:dyDescent="0.35">
      <c r="A141" s="9" t="s">
        <v>2060</v>
      </c>
      <c r="B141" s="9" t="s">
        <v>6</v>
      </c>
      <c r="C141" s="9" t="s">
        <v>311</v>
      </c>
      <c r="D141" s="9" t="str">
        <f>B141&amp;" - "&amp;C141</f>
        <v>Input - Facilities and equipment</v>
      </c>
      <c r="E141" s="9" t="s">
        <v>8</v>
      </c>
      <c r="G141" s="9" t="s">
        <v>1086</v>
      </c>
      <c r="H141" s="9" t="str">
        <f>IF(E141="x","Economic - "&amp;G141,"Environmental - "&amp;G141)</f>
        <v>Economic - Cost</v>
      </c>
      <c r="I141" s="12" t="s">
        <v>334</v>
      </c>
      <c r="J141" s="9" t="s">
        <v>1159</v>
      </c>
      <c r="K141" s="9" t="s">
        <v>10</v>
      </c>
      <c r="L141" s="9" t="s">
        <v>19</v>
      </c>
      <c r="M141" s="9" t="s">
        <v>468</v>
      </c>
      <c r="N141" s="9">
        <f>LEN(O141) - LEN(SUBSTITUTE(O141, ";", ""))+1</f>
        <v>1</v>
      </c>
      <c r="O141" s="9" t="s">
        <v>38</v>
      </c>
      <c r="P141" s="9" t="s">
        <v>39</v>
      </c>
      <c r="Q141" s="9" t="s">
        <v>40</v>
      </c>
      <c r="R141" s="9" t="s">
        <v>17</v>
      </c>
      <c r="S141" s="9" t="s">
        <v>1825</v>
      </c>
      <c r="W141" s="23"/>
    </row>
    <row r="142" spans="1:23" ht="51.5" customHeight="1" x14ac:dyDescent="0.35">
      <c r="A142" s="9" t="s">
        <v>1497</v>
      </c>
      <c r="B142" s="9" t="s">
        <v>6</v>
      </c>
      <c r="C142" s="9" t="s">
        <v>311</v>
      </c>
      <c r="D142" s="9" t="str">
        <f>B142&amp;" - "&amp;C142</f>
        <v>Input - Facilities and equipment</v>
      </c>
      <c r="E142" s="9" t="s">
        <v>8</v>
      </c>
      <c r="G142" s="9" t="s">
        <v>1086</v>
      </c>
      <c r="H142" s="9" t="str">
        <f>IF(E142="x","Economic - "&amp;G142,"Environmental - "&amp;G142)</f>
        <v>Economic - Cost</v>
      </c>
      <c r="I142" s="12" t="s">
        <v>335</v>
      </c>
      <c r="J142" s="9" t="s">
        <v>336</v>
      </c>
      <c r="K142" s="9" t="s">
        <v>10</v>
      </c>
      <c r="L142" s="9" t="s">
        <v>19</v>
      </c>
      <c r="M142" s="9" t="s">
        <v>468</v>
      </c>
      <c r="N142" s="9">
        <f>LEN(O142) - LEN(SUBSTITUTE(O142, ";", ""))+1</f>
        <v>1</v>
      </c>
      <c r="O142" s="9" t="s">
        <v>337</v>
      </c>
      <c r="P142" s="9" t="s">
        <v>84</v>
      </c>
      <c r="Q142" s="9" t="s">
        <v>338</v>
      </c>
      <c r="R142" s="9" t="s">
        <v>339</v>
      </c>
      <c r="S142" s="9" t="s">
        <v>17</v>
      </c>
      <c r="W142" s="23"/>
    </row>
    <row r="143" spans="1:23" ht="51.5" customHeight="1" x14ac:dyDescent="0.35">
      <c r="A143" s="9" t="s">
        <v>1498</v>
      </c>
      <c r="B143" s="9" t="s">
        <v>6</v>
      </c>
      <c r="C143" s="9" t="s">
        <v>311</v>
      </c>
      <c r="D143" s="9" t="str">
        <f>B143&amp;" - "&amp;C143</f>
        <v>Input - Facilities and equipment</v>
      </c>
      <c r="E143" s="9" t="s">
        <v>8</v>
      </c>
      <c r="G143" s="9" t="s">
        <v>1090</v>
      </c>
      <c r="H143" s="9" t="str">
        <f>IF(E143="x","Economic - "&amp;G143,"Environmental - "&amp;G143)</f>
        <v>Economic - Other</v>
      </c>
      <c r="I143" s="12" t="s">
        <v>327</v>
      </c>
      <c r="J143" s="9" t="s">
        <v>328</v>
      </c>
      <c r="K143" s="9" t="s">
        <v>10</v>
      </c>
      <c r="L143" s="9" t="s">
        <v>16</v>
      </c>
      <c r="M143" s="9" t="s">
        <v>468</v>
      </c>
      <c r="N143" s="9">
        <f>LEN(O143) - LEN(SUBSTITUTE(O143, ";", ""))+1</f>
        <v>5</v>
      </c>
      <c r="O143" s="9" t="s">
        <v>1937</v>
      </c>
      <c r="P143" s="9" t="s">
        <v>165</v>
      </c>
      <c r="Q143" s="9" t="s">
        <v>1296</v>
      </c>
      <c r="R143" s="9" t="s">
        <v>1292</v>
      </c>
      <c r="S143" s="9" t="s">
        <v>1823</v>
      </c>
      <c r="W143" s="23"/>
    </row>
    <row r="144" spans="1:23" ht="51.5" customHeight="1" x14ac:dyDescent="0.35">
      <c r="A144" s="9" t="s">
        <v>1499</v>
      </c>
      <c r="B144" s="9" t="s">
        <v>6</v>
      </c>
      <c r="C144" s="9" t="s">
        <v>311</v>
      </c>
      <c r="D144" s="9" t="str">
        <f>B144&amp;" - "&amp;C144</f>
        <v>Input - Facilities and equipment</v>
      </c>
      <c r="F144" s="9" t="s">
        <v>8</v>
      </c>
      <c r="G144" s="9" t="s">
        <v>1090</v>
      </c>
      <c r="H144" s="9" t="str">
        <f>IF(E144="x","Economic - "&amp;G144,"Environmental - "&amp;G144)</f>
        <v>Environmental - Other</v>
      </c>
      <c r="I144" s="12" t="s">
        <v>340</v>
      </c>
      <c r="J144" s="9" t="s">
        <v>341</v>
      </c>
      <c r="K144" s="9" t="s">
        <v>10</v>
      </c>
      <c r="L144" s="9" t="s">
        <v>1273</v>
      </c>
      <c r="M144" s="9" t="s">
        <v>468</v>
      </c>
      <c r="N144" s="9">
        <f>LEN(O144) - LEN(SUBSTITUTE(O144, ";", ""))+1</f>
        <v>1</v>
      </c>
      <c r="O144" s="9" t="s">
        <v>177</v>
      </c>
      <c r="P144" s="9" t="s">
        <v>74</v>
      </c>
      <c r="Q144" s="9" t="s">
        <v>17</v>
      </c>
      <c r="R144" s="9" t="s">
        <v>17</v>
      </c>
      <c r="S144" s="9" t="s">
        <v>17</v>
      </c>
      <c r="W144" s="23"/>
    </row>
    <row r="145" spans="1:23" ht="51.5" customHeight="1" x14ac:dyDescent="0.35">
      <c r="A145" s="9" t="s">
        <v>1500</v>
      </c>
      <c r="B145" s="9" t="s">
        <v>6</v>
      </c>
      <c r="C145" s="9" t="s">
        <v>311</v>
      </c>
      <c r="D145" s="9" t="str">
        <f>B145&amp;" - "&amp;C145</f>
        <v>Input - Facilities and equipment</v>
      </c>
      <c r="F145" s="9" t="s">
        <v>8</v>
      </c>
      <c r="G145" s="9" t="s">
        <v>1199</v>
      </c>
      <c r="H145" s="9" t="str">
        <f>IF(E145="x","Economic - "&amp;G145,"Environmental - "&amp;G145)</f>
        <v>Environmental - Climate Change</v>
      </c>
      <c r="I145" s="12" t="s">
        <v>1947</v>
      </c>
      <c r="J145" s="9" t="s">
        <v>1948</v>
      </c>
      <c r="K145" s="9" t="s">
        <v>1931</v>
      </c>
      <c r="L145" s="9" t="s">
        <v>16</v>
      </c>
      <c r="M145" s="9" t="s">
        <v>468</v>
      </c>
      <c r="N145" s="9">
        <f>LEN(O145) - LEN(SUBSTITUTE(O145, ";", ""))+1</f>
        <v>1</v>
      </c>
      <c r="O145" s="9" t="s">
        <v>993</v>
      </c>
      <c r="P145" s="9" t="s">
        <v>39</v>
      </c>
      <c r="Q145" s="9" t="s">
        <v>1875</v>
      </c>
      <c r="R145" s="9" t="s">
        <v>17</v>
      </c>
      <c r="S145" s="9" t="s">
        <v>2116</v>
      </c>
      <c r="W145" s="23"/>
    </row>
    <row r="146" spans="1:23" ht="51.5" customHeight="1" x14ac:dyDescent="0.35">
      <c r="A146" s="9" t="s">
        <v>1501</v>
      </c>
      <c r="B146" s="9" t="s">
        <v>6</v>
      </c>
      <c r="C146" s="9" t="s">
        <v>311</v>
      </c>
      <c r="D146" s="9" t="str">
        <f>B146&amp;" - "&amp;C146</f>
        <v>Input - Facilities and equipment</v>
      </c>
      <c r="F146" s="9" t="s">
        <v>8</v>
      </c>
      <c r="G146" s="9" t="s">
        <v>1088</v>
      </c>
      <c r="H146" s="9" t="str">
        <f>IF(E146="x","Economic - "&amp;G146,"Environmental - "&amp;G146)</f>
        <v>Environmental - Pollution</v>
      </c>
      <c r="I146" s="12" t="s">
        <v>1950</v>
      </c>
      <c r="J146" s="9" t="s">
        <v>1949</v>
      </c>
      <c r="K146" s="9" t="s">
        <v>342</v>
      </c>
      <c r="L146" s="9" t="s">
        <v>343</v>
      </c>
      <c r="M146" s="9" t="s">
        <v>468</v>
      </c>
      <c r="N146" s="9">
        <f>LEN(O146) - LEN(SUBSTITUTE(O146, ";", ""))+1</f>
        <v>1</v>
      </c>
      <c r="O146" s="9" t="s">
        <v>993</v>
      </c>
      <c r="P146" s="9" t="s">
        <v>39</v>
      </c>
      <c r="Q146" s="9" t="s">
        <v>1875</v>
      </c>
      <c r="R146" s="9" t="s">
        <v>17</v>
      </c>
      <c r="S146" s="9" t="s">
        <v>2116</v>
      </c>
      <c r="W146" s="23"/>
    </row>
    <row r="147" spans="1:23" ht="51.5" customHeight="1" x14ac:dyDescent="0.35">
      <c r="A147" s="9" t="s">
        <v>1502</v>
      </c>
      <c r="B147" s="9" t="s">
        <v>6</v>
      </c>
      <c r="C147" s="9" t="s">
        <v>311</v>
      </c>
      <c r="D147" s="9" t="str">
        <f>B147&amp;" - "&amp;C147</f>
        <v>Input - Facilities and equipment</v>
      </c>
      <c r="F147" s="9" t="s">
        <v>8</v>
      </c>
      <c r="G147" s="9" t="s">
        <v>1197</v>
      </c>
      <c r="H147" s="9" t="str">
        <f>IF(E147="x","Economic - "&amp;G147,"Environmental - "&amp;G147)</f>
        <v>Environmental - Resource Use &amp; Circular Economy</v>
      </c>
      <c r="I147" s="12" t="s">
        <v>346</v>
      </c>
      <c r="J147" s="9" t="s">
        <v>1161</v>
      </c>
      <c r="K147" s="9" t="s">
        <v>10</v>
      </c>
      <c r="L147" s="9" t="s">
        <v>16</v>
      </c>
      <c r="M147" s="9" t="s">
        <v>468</v>
      </c>
      <c r="N147" s="9">
        <f>LEN(O147) - LEN(SUBSTITUTE(O147, ";", ""))+1</f>
        <v>1</v>
      </c>
      <c r="O147" s="9" t="s">
        <v>177</v>
      </c>
      <c r="P147" s="9" t="s">
        <v>74</v>
      </c>
      <c r="Q147" s="9" t="s">
        <v>17</v>
      </c>
      <c r="R147" s="9" t="s">
        <v>17</v>
      </c>
      <c r="S147" s="9" t="s">
        <v>17</v>
      </c>
      <c r="W147" s="23"/>
    </row>
    <row r="148" spans="1:23" ht="51.5" customHeight="1" x14ac:dyDescent="0.35">
      <c r="A148" s="9" t="s">
        <v>2061</v>
      </c>
      <c r="B148" s="9" t="s">
        <v>6</v>
      </c>
      <c r="C148" s="9" t="s">
        <v>311</v>
      </c>
      <c r="D148" s="9" t="str">
        <f>B148&amp;" - "&amp;C148</f>
        <v>Input - Facilities and equipment</v>
      </c>
      <c r="E148" s="9" t="s">
        <v>8</v>
      </c>
      <c r="G148" s="9" t="s">
        <v>1090</v>
      </c>
      <c r="H148" s="9" t="str">
        <f>IF(E148="x","Economic - "&amp;G148,"Environmental - "&amp;G148)</f>
        <v>Economic - Other</v>
      </c>
      <c r="I148" s="12" t="s">
        <v>345</v>
      </c>
      <c r="J148" s="9" t="s">
        <v>1160</v>
      </c>
      <c r="K148" s="9" t="s">
        <v>342</v>
      </c>
      <c r="L148" s="9" t="s">
        <v>343</v>
      </c>
      <c r="M148" s="9" t="s">
        <v>468</v>
      </c>
      <c r="N148" s="9">
        <f>LEN(O148) - LEN(SUBSTITUTE(O148, ";", ""))+1</f>
        <v>1</v>
      </c>
      <c r="O148" s="9" t="s">
        <v>344</v>
      </c>
      <c r="P148" s="9" t="s">
        <v>84</v>
      </c>
      <c r="Q148" s="9" t="s">
        <v>17</v>
      </c>
      <c r="R148" s="9" t="s">
        <v>17</v>
      </c>
      <c r="S148" s="9" t="s">
        <v>17</v>
      </c>
      <c r="W148" s="23"/>
    </row>
    <row r="149" spans="1:23" ht="51.5" customHeight="1" x14ac:dyDescent="0.35">
      <c r="A149" s="9" t="s">
        <v>1503</v>
      </c>
      <c r="B149" s="9" t="s">
        <v>6</v>
      </c>
      <c r="C149" s="9" t="s">
        <v>311</v>
      </c>
      <c r="D149" s="9" t="str">
        <f>B149&amp;" - "&amp;C149</f>
        <v>Input - Facilities and equipment</v>
      </c>
      <c r="F149" s="9" t="s">
        <v>8</v>
      </c>
      <c r="G149" s="9" t="s">
        <v>1090</v>
      </c>
      <c r="H149" s="9" t="str">
        <f>IF(E149="x","Economic - "&amp;G149,"Environmental - "&amp;G149)</f>
        <v>Environmental - Other</v>
      </c>
      <c r="I149" s="12" t="s">
        <v>347</v>
      </c>
      <c r="J149" s="9" t="s">
        <v>1162</v>
      </c>
      <c r="K149" s="9" t="s">
        <v>10</v>
      </c>
      <c r="L149" s="9" t="s">
        <v>57</v>
      </c>
      <c r="M149" s="9" t="s">
        <v>468</v>
      </c>
      <c r="N149" s="9">
        <f>LEN(O149) - LEN(SUBSTITUTE(O149, ";", ""))+1</f>
        <v>1</v>
      </c>
      <c r="O149" s="9" t="s">
        <v>177</v>
      </c>
      <c r="P149" s="9" t="s">
        <v>74</v>
      </c>
      <c r="Q149" s="9" t="s">
        <v>17</v>
      </c>
      <c r="R149" s="9" t="s">
        <v>17</v>
      </c>
      <c r="S149" s="9" t="s">
        <v>17</v>
      </c>
      <c r="W149" s="23"/>
    </row>
    <row r="150" spans="1:23" ht="51.5" customHeight="1" x14ac:dyDescent="0.35">
      <c r="A150" s="9" t="s">
        <v>2062</v>
      </c>
      <c r="B150" s="9" t="s">
        <v>6</v>
      </c>
      <c r="C150" s="9" t="s">
        <v>311</v>
      </c>
      <c r="D150" s="9" t="str">
        <f>B150&amp;" - "&amp;C150</f>
        <v>Input - Facilities and equipment</v>
      </c>
      <c r="F150" s="9" t="s">
        <v>8</v>
      </c>
      <c r="G150" s="9" t="s">
        <v>1199</v>
      </c>
      <c r="H150" s="9" t="str">
        <f>IF(E150="x","Economic - "&amp;G150,"Environmental - "&amp;G150)</f>
        <v>Environmental - Climate Change</v>
      </c>
      <c r="I150" s="12" t="s">
        <v>348</v>
      </c>
      <c r="J150" s="9" t="s">
        <v>349</v>
      </c>
      <c r="K150" s="9" t="s">
        <v>10</v>
      </c>
      <c r="L150" s="9" t="s">
        <v>1280</v>
      </c>
      <c r="M150" s="9" t="s">
        <v>468</v>
      </c>
      <c r="N150" s="9">
        <f>LEN(O150) - LEN(SUBSTITUTE(O150, ";", ""))+1</f>
        <v>1</v>
      </c>
      <c r="O150" s="9" t="s">
        <v>177</v>
      </c>
      <c r="P150" s="9" t="s">
        <v>74</v>
      </c>
      <c r="Q150" s="9" t="s">
        <v>17</v>
      </c>
      <c r="R150" s="9" t="s">
        <v>17</v>
      </c>
      <c r="S150" s="9" t="s">
        <v>17</v>
      </c>
      <c r="W150" s="23"/>
    </row>
    <row r="151" spans="1:23" ht="51.5" customHeight="1" x14ac:dyDescent="0.35">
      <c r="A151" s="9" t="s">
        <v>1504</v>
      </c>
      <c r="B151" s="9" t="s">
        <v>6</v>
      </c>
      <c r="C151" s="9" t="s">
        <v>311</v>
      </c>
      <c r="D151" s="9" t="str">
        <f>B151&amp;" - "&amp;C151</f>
        <v>Input - Facilities and equipment</v>
      </c>
      <c r="F151" s="9" t="s">
        <v>8</v>
      </c>
      <c r="G151" s="9" t="s">
        <v>1197</v>
      </c>
      <c r="H151" s="9" t="str">
        <f>IF(E151="x","Economic - "&amp;G151,"Environmental - "&amp;G151)</f>
        <v>Environmental - Resource Use &amp; Circular Economy</v>
      </c>
      <c r="I151" s="12" t="s">
        <v>103</v>
      </c>
      <c r="J151" s="9" t="s">
        <v>104</v>
      </c>
      <c r="K151" s="9" t="s">
        <v>10</v>
      </c>
      <c r="L151" s="9" t="s">
        <v>105</v>
      </c>
      <c r="M151" s="9" t="s">
        <v>468</v>
      </c>
      <c r="N151" s="9">
        <f>LEN(O151) - LEN(SUBSTITUTE(O151, ";", ""))+1</f>
        <v>2</v>
      </c>
      <c r="O151" s="9" t="s">
        <v>2042</v>
      </c>
      <c r="P151" s="9" t="s">
        <v>84</v>
      </c>
      <c r="Q151" s="9" t="s">
        <v>1298</v>
      </c>
      <c r="R151" s="9" t="s">
        <v>85</v>
      </c>
      <c r="S151" s="9" t="s">
        <v>17</v>
      </c>
      <c r="W151" s="23"/>
    </row>
    <row r="152" spans="1:23" ht="51.5" customHeight="1" x14ac:dyDescent="0.35">
      <c r="A152" s="9" t="s">
        <v>1505</v>
      </c>
      <c r="B152" s="9" t="s">
        <v>6</v>
      </c>
      <c r="C152" s="9" t="s">
        <v>311</v>
      </c>
      <c r="D152" s="9" t="str">
        <f>B152&amp;" - "&amp;C152</f>
        <v>Input - Facilities and equipment</v>
      </c>
      <c r="E152" s="9" t="s">
        <v>8</v>
      </c>
      <c r="G152" s="9" t="s">
        <v>1086</v>
      </c>
      <c r="H152" s="9" t="str">
        <f>IF(E152="x","Economic - "&amp;G152,"Environmental - "&amp;G152)</f>
        <v>Economic - Cost</v>
      </c>
      <c r="I152" s="12" t="s">
        <v>110</v>
      </c>
      <c r="J152" s="9" t="s">
        <v>1114</v>
      </c>
      <c r="K152" s="9" t="s">
        <v>10</v>
      </c>
      <c r="L152" s="9" t="s">
        <v>19</v>
      </c>
      <c r="M152" s="9" t="s">
        <v>468</v>
      </c>
      <c r="N152" s="9">
        <f>LEN(O152) - LEN(SUBSTITUTE(O152, ";", ""))+1</f>
        <v>3</v>
      </c>
      <c r="O152" s="9" t="s">
        <v>1987</v>
      </c>
      <c r="P152" s="9" t="s">
        <v>56</v>
      </c>
      <c r="Q152" s="9" t="s">
        <v>1290</v>
      </c>
      <c r="R152" s="9" t="s">
        <v>79</v>
      </c>
      <c r="S152" s="9" t="s">
        <v>17</v>
      </c>
      <c r="W152" s="23"/>
    </row>
    <row r="153" spans="1:23" ht="51.5" customHeight="1" x14ac:dyDescent="0.35">
      <c r="A153" s="9" t="s">
        <v>1801</v>
      </c>
      <c r="B153" s="9" t="s">
        <v>6</v>
      </c>
      <c r="C153" s="9" t="s">
        <v>1364</v>
      </c>
      <c r="D153" s="9" t="str">
        <f>B153&amp;" - "&amp;C153</f>
        <v>Input - Labor</v>
      </c>
      <c r="E153" s="9" t="s">
        <v>8</v>
      </c>
      <c r="G153" s="9" t="s">
        <v>1090</v>
      </c>
      <c r="H153" s="9" t="str">
        <f>IF(E153="x","Economic - "&amp;G153,"Environmental - "&amp;G153)</f>
        <v>Economic - Other</v>
      </c>
      <c r="I153" s="12" t="s">
        <v>940</v>
      </c>
      <c r="J153" s="9" t="s">
        <v>941</v>
      </c>
      <c r="K153" s="9" t="s">
        <v>10</v>
      </c>
      <c r="L153" s="9" t="s">
        <v>57</v>
      </c>
      <c r="M153" s="9" t="s">
        <v>468</v>
      </c>
      <c r="N153" s="9">
        <f>LEN(O153) - LEN(SUBSTITUTE(O153, ";", ""))+1</f>
        <v>2</v>
      </c>
      <c r="O153" s="9" t="s">
        <v>942</v>
      </c>
      <c r="P153" s="9" t="s">
        <v>39</v>
      </c>
      <c r="Q153" s="9" t="s">
        <v>1310</v>
      </c>
      <c r="R153" s="9" t="s">
        <v>17</v>
      </c>
      <c r="S153" s="9" t="s">
        <v>1824</v>
      </c>
      <c r="W153" s="23"/>
    </row>
    <row r="154" spans="1:23" ht="51.5" customHeight="1" x14ac:dyDescent="0.35">
      <c r="A154" s="9" t="s">
        <v>1802</v>
      </c>
      <c r="B154" s="9" t="s">
        <v>6</v>
      </c>
      <c r="C154" s="9" t="s">
        <v>1364</v>
      </c>
      <c r="D154" s="9" t="str">
        <f>B154&amp;" - "&amp;C154</f>
        <v>Input - Labor</v>
      </c>
      <c r="E154" s="9" t="s">
        <v>8</v>
      </c>
      <c r="G154" s="9" t="s">
        <v>1090</v>
      </c>
      <c r="H154" s="9" t="str">
        <f>IF(E154="x","Economic - "&amp;G154,"Environmental - "&amp;G154)</f>
        <v>Economic - Other</v>
      </c>
      <c r="I154" s="12" t="s">
        <v>943</v>
      </c>
      <c r="J154" s="9" t="s">
        <v>944</v>
      </c>
      <c r="K154" s="9" t="s">
        <v>10</v>
      </c>
      <c r="L154" s="9" t="s">
        <v>16</v>
      </c>
      <c r="M154" s="9" t="s">
        <v>468</v>
      </c>
      <c r="N154" s="9">
        <f>LEN(O154) - LEN(SUBSTITUTE(O154, ";", ""))+1</f>
        <v>1</v>
      </c>
      <c r="O154" s="9" t="s">
        <v>945</v>
      </c>
      <c r="P154" s="9" t="s">
        <v>39</v>
      </c>
      <c r="Q154" s="9" t="s">
        <v>17</v>
      </c>
      <c r="R154" s="9" t="s">
        <v>17</v>
      </c>
      <c r="S154" s="9" t="s">
        <v>17</v>
      </c>
      <c r="W154" s="23"/>
    </row>
    <row r="155" spans="1:23" ht="51.5" customHeight="1" x14ac:dyDescent="0.35">
      <c r="A155" s="9" t="s">
        <v>1803</v>
      </c>
      <c r="B155" s="9" t="s">
        <v>6</v>
      </c>
      <c r="C155" s="9" t="s">
        <v>1364</v>
      </c>
      <c r="D155" s="9" t="str">
        <f>B155&amp;" - "&amp;C155</f>
        <v>Input - Labor</v>
      </c>
      <c r="E155" s="9" t="s">
        <v>8</v>
      </c>
      <c r="G155" s="9" t="s">
        <v>1086</v>
      </c>
      <c r="H155" s="9" t="str">
        <f>IF(E155="x","Economic - "&amp;G155,"Environmental - "&amp;G155)</f>
        <v>Economic - Cost</v>
      </c>
      <c r="I155" s="12" t="s">
        <v>946</v>
      </c>
      <c r="J155" s="9" t="s">
        <v>2178</v>
      </c>
      <c r="K155" s="9" t="s">
        <v>10</v>
      </c>
      <c r="L155" s="9" t="s">
        <v>19</v>
      </c>
      <c r="M155" s="9" t="s">
        <v>468</v>
      </c>
      <c r="N155" s="9">
        <f>LEN(O155) - LEN(SUBSTITUTE(O155, ";", ""))+1</f>
        <v>21</v>
      </c>
      <c r="O155" s="9" t="s">
        <v>1921</v>
      </c>
      <c r="P155" s="9" t="s">
        <v>50</v>
      </c>
      <c r="Q155" s="9" t="s">
        <v>1324</v>
      </c>
      <c r="R155" s="9" t="s">
        <v>1289</v>
      </c>
      <c r="S155" s="9" t="s">
        <v>1823</v>
      </c>
      <c r="W155" s="23"/>
    </row>
    <row r="156" spans="1:23" ht="51.5" customHeight="1" x14ac:dyDescent="0.35">
      <c r="A156" s="9" t="s">
        <v>2063</v>
      </c>
      <c r="B156" s="9" t="s">
        <v>6</v>
      </c>
      <c r="C156" s="9" t="s">
        <v>1364</v>
      </c>
      <c r="D156" s="9" t="str">
        <f>B156&amp;" - "&amp;C156</f>
        <v>Input - Labor</v>
      </c>
      <c r="E156" s="9" t="s">
        <v>8</v>
      </c>
      <c r="G156" s="9" t="s">
        <v>1086</v>
      </c>
      <c r="H156" s="9" t="str">
        <f>IF(E156="x","Economic - "&amp;G156,"Environmental - "&amp;G156)</f>
        <v>Economic - Cost</v>
      </c>
      <c r="I156" s="12" t="s">
        <v>1938</v>
      </c>
      <c r="J156" s="9" t="s">
        <v>1944</v>
      </c>
      <c r="K156" s="9" t="s">
        <v>10</v>
      </c>
      <c r="L156" s="9" t="s">
        <v>19</v>
      </c>
      <c r="M156" s="9" t="s">
        <v>468</v>
      </c>
      <c r="N156" s="9">
        <f>LEN(O156) - LEN(SUBSTITUTE(O156, ";", ""))+1</f>
        <v>3</v>
      </c>
      <c r="O156" s="9" t="s">
        <v>1945</v>
      </c>
      <c r="P156" s="9" t="s">
        <v>65</v>
      </c>
      <c r="Q156" s="9" t="s">
        <v>2117</v>
      </c>
      <c r="R156" s="9" t="s">
        <v>1292</v>
      </c>
      <c r="S156" s="9" t="s">
        <v>1824</v>
      </c>
      <c r="W156" s="23"/>
    </row>
    <row r="157" spans="1:23" ht="51.5" customHeight="1" x14ac:dyDescent="0.35">
      <c r="A157" s="9" t="s">
        <v>1804</v>
      </c>
      <c r="B157" s="9" t="s">
        <v>6</v>
      </c>
      <c r="C157" s="9" t="s">
        <v>1364</v>
      </c>
      <c r="D157" s="9" t="str">
        <f>B157&amp;" - "&amp;C157</f>
        <v>Input - Labor</v>
      </c>
      <c r="E157" s="9" t="s">
        <v>8</v>
      </c>
      <c r="G157" s="9" t="s">
        <v>1086</v>
      </c>
      <c r="H157" s="9" t="str">
        <f>IF(E157="x","Economic - "&amp;G157,"Environmental - "&amp;G157)</f>
        <v>Economic - Cost</v>
      </c>
      <c r="I157" s="12" t="s">
        <v>947</v>
      </c>
      <c r="J157" s="9" t="s">
        <v>948</v>
      </c>
      <c r="K157" s="9" t="s">
        <v>10</v>
      </c>
      <c r="L157" s="9" t="s">
        <v>19</v>
      </c>
      <c r="M157" s="9" t="s">
        <v>468</v>
      </c>
      <c r="N157" s="9">
        <f>LEN(O157) - LEN(SUBSTITUTE(O157, ";", ""))+1</f>
        <v>2</v>
      </c>
      <c r="O157" s="9" t="s">
        <v>949</v>
      </c>
      <c r="P157" s="9" t="s">
        <v>14</v>
      </c>
      <c r="Q157" s="9" t="s">
        <v>1294</v>
      </c>
      <c r="R157" s="9" t="s">
        <v>1284</v>
      </c>
      <c r="S157" s="9" t="s">
        <v>1820</v>
      </c>
      <c r="W157" s="23"/>
    </row>
    <row r="158" spans="1:23" ht="51.5" customHeight="1" x14ac:dyDescent="0.35">
      <c r="A158" s="9" t="s">
        <v>1805</v>
      </c>
      <c r="B158" s="9" t="s">
        <v>6</v>
      </c>
      <c r="C158" s="9" t="s">
        <v>1364</v>
      </c>
      <c r="D158" s="9" t="str">
        <f>B158&amp;" - "&amp;C158</f>
        <v>Input - Labor</v>
      </c>
      <c r="E158" s="9" t="s">
        <v>8</v>
      </c>
      <c r="G158" s="9" t="s">
        <v>1086</v>
      </c>
      <c r="H158" s="9" t="str">
        <f>IF(E158="x","Economic - "&amp;G158,"Environmental - "&amp;G158)</f>
        <v>Economic - Cost</v>
      </c>
      <c r="I158" s="12" t="s">
        <v>950</v>
      </c>
      <c r="J158" s="9" t="s">
        <v>951</v>
      </c>
      <c r="K158" s="9" t="s">
        <v>10</v>
      </c>
      <c r="L158" s="9" t="s">
        <v>19</v>
      </c>
      <c r="M158" s="9" t="s">
        <v>468</v>
      </c>
      <c r="N158" s="9">
        <f>LEN(O158) - LEN(SUBSTITUTE(O158, ";", ""))+1</f>
        <v>2</v>
      </c>
      <c r="O158" s="9" t="s">
        <v>952</v>
      </c>
      <c r="P158" s="9" t="s">
        <v>78</v>
      </c>
      <c r="Q158" s="9" t="s">
        <v>117</v>
      </c>
      <c r="R158" s="9" t="s">
        <v>118</v>
      </c>
      <c r="S158" s="9" t="s">
        <v>17</v>
      </c>
      <c r="W158" s="23"/>
    </row>
    <row r="159" spans="1:23" ht="51.5" customHeight="1" x14ac:dyDescent="0.35">
      <c r="A159" s="9" t="s">
        <v>1806</v>
      </c>
      <c r="B159" s="9" t="s">
        <v>6</v>
      </c>
      <c r="C159" s="9" t="s">
        <v>1364</v>
      </c>
      <c r="D159" s="9" t="str">
        <f>B159&amp;" - "&amp;C159</f>
        <v>Input - Labor</v>
      </c>
      <c r="E159" s="9" t="s">
        <v>8</v>
      </c>
      <c r="G159" s="9" t="s">
        <v>518</v>
      </c>
      <c r="H159" s="9" t="str">
        <f>IF(E159="x","Economic - "&amp;G159,"Environmental - "&amp;G159)</f>
        <v>Economic - Investments</v>
      </c>
      <c r="I159" s="12" t="s">
        <v>953</v>
      </c>
      <c r="J159" s="9" t="s">
        <v>1113</v>
      </c>
      <c r="K159" s="9" t="s">
        <v>10</v>
      </c>
      <c r="L159" s="9" t="s">
        <v>19</v>
      </c>
      <c r="M159" s="9" t="s">
        <v>468</v>
      </c>
      <c r="N159" s="9">
        <f>LEN(O159) - LEN(SUBSTITUTE(O159, ";", ""))+1</f>
        <v>5</v>
      </c>
      <c r="O159" s="9" t="s">
        <v>2014</v>
      </c>
      <c r="P159" s="9" t="s">
        <v>74</v>
      </c>
      <c r="Q159" s="9" t="s">
        <v>2118</v>
      </c>
      <c r="R159" s="9" t="s">
        <v>17</v>
      </c>
      <c r="S159" s="9" t="s">
        <v>1823</v>
      </c>
      <c r="W159" s="23"/>
    </row>
    <row r="160" spans="1:23" ht="51.5" customHeight="1" x14ac:dyDescent="0.35">
      <c r="A160" s="9" t="s">
        <v>1807</v>
      </c>
      <c r="B160" s="9" t="s">
        <v>6</v>
      </c>
      <c r="C160" s="9" t="s">
        <v>1364</v>
      </c>
      <c r="D160" s="9" t="str">
        <f>B160&amp;" - "&amp;C160</f>
        <v>Input - Labor</v>
      </c>
      <c r="E160" s="9" t="s">
        <v>8</v>
      </c>
      <c r="G160" s="9" t="s">
        <v>518</v>
      </c>
      <c r="H160" s="9" t="str">
        <f>IF(E160="x","Economic - "&amp;G160,"Environmental - "&amp;G160)</f>
        <v>Economic - Investments</v>
      </c>
      <c r="I160" s="12" t="s">
        <v>954</v>
      </c>
      <c r="J160" s="9" t="s">
        <v>1189</v>
      </c>
      <c r="K160" s="9" t="s">
        <v>10</v>
      </c>
      <c r="L160" s="9" t="s">
        <v>57</v>
      </c>
      <c r="M160" s="9" t="s">
        <v>468</v>
      </c>
      <c r="N160" s="9">
        <f>LEN(O160) - LEN(SUBSTITUTE(O160, ";", ""))+1</f>
        <v>1</v>
      </c>
      <c r="O160" s="9" t="s">
        <v>271</v>
      </c>
      <c r="P160" s="9" t="s">
        <v>39</v>
      </c>
      <c r="Q160" s="9" t="s">
        <v>1312</v>
      </c>
      <c r="R160" s="9" t="s">
        <v>17</v>
      </c>
      <c r="S160" s="9" t="s">
        <v>1821</v>
      </c>
      <c r="W160" s="23"/>
    </row>
    <row r="161" spans="1:23" ht="51.5" customHeight="1" x14ac:dyDescent="0.35">
      <c r="A161" s="9" t="s">
        <v>1808</v>
      </c>
      <c r="B161" s="9" t="s">
        <v>6</v>
      </c>
      <c r="C161" s="9" t="s">
        <v>1364</v>
      </c>
      <c r="D161" s="9" t="str">
        <f>B161&amp;" - "&amp;C161</f>
        <v>Input - Labor</v>
      </c>
      <c r="E161" s="9" t="s">
        <v>8</v>
      </c>
      <c r="G161" s="9" t="s">
        <v>1086</v>
      </c>
      <c r="H161" s="9" t="str">
        <f>IF(E161="x","Economic - "&amp;G161,"Environmental - "&amp;G161)</f>
        <v>Economic - Cost</v>
      </c>
      <c r="I161" s="12" t="s">
        <v>955</v>
      </c>
      <c r="J161" s="9" t="s">
        <v>956</v>
      </c>
      <c r="K161" s="9" t="s">
        <v>10</v>
      </c>
      <c r="L161" s="9" t="s">
        <v>19</v>
      </c>
      <c r="M161" s="9" t="s">
        <v>468</v>
      </c>
      <c r="N161" s="9">
        <f>LEN(O161) - LEN(SUBSTITUTE(O161, ";", ""))+1</f>
        <v>1</v>
      </c>
      <c r="O161" s="9" t="s">
        <v>115</v>
      </c>
      <c r="P161" s="9" t="s">
        <v>116</v>
      </c>
      <c r="Q161" s="9" t="s">
        <v>117</v>
      </c>
      <c r="R161" s="9" t="s">
        <v>118</v>
      </c>
      <c r="S161" s="9" t="s">
        <v>17</v>
      </c>
      <c r="W161" s="23"/>
    </row>
    <row r="162" spans="1:23" ht="51.5" customHeight="1" x14ac:dyDescent="0.35">
      <c r="A162" s="9" t="s">
        <v>1809</v>
      </c>
      <c r="B162" s="9" t="s">
        <v>6</v>
      </c>
      <c r="C162" s="9" t="s">
        <v>1364</v>
      </c>
      <c r="D162" s="9" t="str">
        <f>B162&amp;" - "&amp;C162</f>
        <v>Input - Labor</v>
      </c>
      <c r="F162" s="9" t="s">
        <v>8</v>
      </c>
      <c r="G162" s="9" t="s">
        <v>1090</v>
      </c>
      <c r="H162" s="9" t="str">
        <f>IF(E162="x","Economic - "&amp;G162,"Environmental - "&amp;G162)</f>
        <v>Environmental - Other</v>
      </c>
      <c r="I162" s="12" t="s">
        <v>957</v>
      </c>
      <c r="J162" s="9" t="s">
        <v>2170</v>
      </c>
      <c r="K162" s="9" t="s">
        <v>10</v>
      </c>
      <c r="L162" s="9" t="s">
        <v>16</v>
      </c>
      <c r="M162" s="9" t="s">
        <v>468</v>
      </c>
      <c r="N162" s="9">
        <f>LEN(O162) - LEN(SUBSTITUTE(O162, ";", ""))+1</f>
        <v>1</v>
      </c>
      <c r="O162" s="9" t="s">
        <v>177</v>
      </c>
      <c r="P162" s="9" t="s">
        <v>74</v>
      </c>
      <c r="Q162" s="9" t="s">
        <v>17</v>
      </c>
      <c r="R162" s="9" t="s">
        <v>17</v>
      </c>
      <c r="S162" s="9" t="s">
        <v>17</v>
      </c>
      <c r="W162" s="23"/>
    </row>
    <row r="163" spans="1:23" ht="51.5" customHeight="1" x14ac:dyDescent="0.35">
      <c r="A163" s="9" t="s">
        <v>1810</v>
      </c>
      <c r="B163" s="9" t="s">
        <v>6</v>
      </c>
      <c r="C163" s="9" t="s">
        <v>1364</v>
      </c>
      <c r="D163" s="9" t="str">
        <f>B163&amp;" - "&amp;C163</f>
        <v>Input - Labor</v>
      </c>
      <c r="F163" s="9" t="s">
        <v>8</v>
      </c>
      <c r="G163" s="9" t="s">
        <v>1090</v>
      </c>
      <c r="H163" s="9" t="str">
        <f>IF(E163="x","Economic - "&amp;G163,"Environmental - "&amp;G163)</f>
        <v>Environmental - Other</v>
      </c>
      <c r="I163" s="12" t="s">
        <v>958</v>
      </c>
      <c r="J163" s="9" t="s">
        <v>959</v>
      </c>
      <c r="K163" s="9" t="s">
        <v>10</v>
      </c>
      <c r="L163" s="9" t="s">
        <v>16</v>
      </c>
      <c r="M163" s="9" t="s">
        <v>468</v>
      </c>
      <c r="N163" s="9">
        <f>LEN(O163) - LEN(SUBSTITUTE(O163, ";", ""))+1</f>
        <v>1</v>
      </c>
      <c r="O163" s="9" t="s">
        <v>177</v>
      </c>
      <c r="P163" s="9" t="s">
        <v>74</v>
      </c>
      <c r="Q163" s="9" t="s">
        <v>17</v>
      </c>
      <c r="R163" s="9" t="s">
        <v>17</v>
      </c>
      <c r="S163" s="9" t="s">
        <v>17</v>
      </c>
      <c r="W163" s="23"/>
    </row>
    <row r="164" spans="1:23" ht="51.5" customHeight="1" x14ac:dyDescent="0.35">
      <c r="A164" s="9" t="s">
        <v>1811</v>
      </c>
      <c r="B164" s="9" t="s">
        <v>6</v>
      </c>
      <c r="C164" s="9" t="s">
        <v>1364</v>
      </c>
      <c r="D164" s="9" t="str">
        <f>B164&amp;" - "&amp;C164</f>
        <v>Input - Labor</v>
      </c>
      <c r="E164" s="9" t="s">
        <v>8</v>
      </c>
      <c r="G164" s="9" t="s">
        <v>1090</v>
      </c>
      <c r="H164" s="9" t="str">
        <f>IF(E164="x","Economic - "&amp;G164,"Environmental - "&amp;G164)</f>
        <v>Economic - Other</v>
      </c>
      <c r="I164" s="12" t="s">
        <v>960</v>
      </c>
      <c r="J164" s="9" t="s">
        <v>961</v>
      </c>
      <c r="K164" s="9" t="s">
        <v>10</v>
      </c>
      <c r="L164" s="9" t="s">
        <v>16</v>
      </c>
      <c r="M164" s="9" t="s">
        <v>2146</v>
      </c>
      <c r="N164" s="9">
        <f>LEN(O164) - LEN(SUBSTITUTE(O164, ";", ""))+1</f>
        <v>3</v>
      </c>
      <c r="O164" s="9" t="s">
        <v>962</v>
      </c>
      <c r="P164" s="9" t="s">
        <v>74</v>
      </c>
      <c r="Q164" s="9" t="s">
        <v>1356</v>
      </c>
      <c r="R164" s="9" t="s">
        <v>1334</v>
      </c>
      <c r="S164" s="9" t="s">
        <v>1822</v>
      </c>
      <c r="W164" s="23"/>
    </row>
    <row r="165" spans="1:23" ht="51.5" customHeight="1" x14ac:dyDescent="0.35">
      <c r="A165" s="9" t="s">
        <v>1812</v>
      </c>
      <c r="B165" s="9" t="s">
        <v>6</v>
      </c>
      <c r="C165" s="9" t="s">
        <v>1364</v>
      </c>
      <c r="D165" s="9" t="str">
        <f>B165&amp;" - "&amp;C165</f>
        <v>Input - Labor</v>
      </c>
      <c r="E165" s="9" t="s">
        <v>8</v>
      </c>
      <c r="G165" s="9" t="s">
        <v>1086</v>
      </c>
      <c r="H165" s="9" t="str">
        <f>IF(E165="x","Economic - "&amp;G165,"Environmental - "&amp;G165)</f>
        <v>Economic - Cost</v>
      </c>
      <c r="I165" s="12" t="s">
        <v>963</v>
      </c>
      <c r="J165" s="9" t="s">
        <v>1149</v>
      </c>
      <c r="K165" s="9" t="s">
        <v>10</v>
      </c>
      <c r="L165" s="9" t="s">
        <v>1257</v>
      </c>
      <c r="M165" s="9" t="s">
        <v>468</v>
      </c>
      <c r="N165" s="9">
        <f>LEN(O165) - LEN(SUBSTITUTE(O165, ";", ""))+1</f>
        <v>1</v>
      </c>
      <c r="O165" s="9" t="s">
        <v>615</v>
      </c>
      <c r="P165" s="9" t="s">
        <v>39</v>
      </c>
      <c r="Q165" s="9" t="s">
        <v>17</v>
      </c>
      <c r="R165" s="9" t="s">
        <v>17</v>
      </c>
      <c r="S165" s="9" t="s">
        <v>17</v>
      </c>
      <c r="W165" s="23"/>
    </row>
    <row r="166" spans="1:23" ht="51.5" customHeight="1" x14ac:dyDescent="0.35">
      <c r="A166" s="9" t="s">
        <v>1813</v>
      </c>
      <c r="B166" s="9" t="s">
        <v>6</v>
      </c>
      <c r="C166" s="9" t="s">
        <v>1364</v>
      </c>
      <c r="D166" s="9" t="str">
        <f>B166&amp;" - "&amp;C166</f>
        <v>Input - Labor</v>
      </c>
      <c r="E166" s="9" t="s">
        <v>8</v>
      </c>
      <c r="G166" s="9" t="s">
        <v>1090</v>
      </c>
      <c r="H166" s="9" t="str">
        <f>IF(E166="x","Economic - "&amp;G166,"Environmental - "&amp;G166)</f>
        <v>Economic - Other</v>
      </c>
      <c r="I166" s="12" t="s">
        <v>964</v>
      </c>
      <c r="J166" s="9" t="s">
        <v>1124</v>
      </c>
      <c r="K166" s="9" t="s">
        <v>10</v>
      </c>
      <c r="L166" s="9" t="s">
        <v>1251</v>
      </c>
      <c r="M166" s="9" t="s">
        <v>468</v>
      </c>
      <c r="N166" s="9">
        <f>LEN(O166) - LEN(SUBSTITUTE(O166, ";", ""))+1</f>
        <v>3</v>
      </c>
      <c r="O166" s="9" t="s">
        <v>965</v>
      </c>
      <c r="P166" s="9" t="s">
        <v>74</v>
      </c>
      <c r="Q166" s="9" t="s">
        <v>1357</v>
      </c>
      <c r="R166" s="9" t="s">
        <v>17</v>
      </c>
      <c r="S166" s="9" t="s">
        <v>1826</v>
      </c>
      <c r="W166" s="23"/>
    </row>
    <row r="167" spans="1:23" ht="51.5" customHeight="1" x14ac:dyDescent="0.35">
      <c r="A167" s="9" t="s">
        <v>1814</v>
      </c>
      <c r="B167" s="9" t="s">
        <v>6</v>
      </c>
      <c r="C167" s="9" t="s">
        <v>1364</v>
      </c>
      <c r="D167" s="9" t="str">
        <f>B167&amp;" - "&amp;C167</f>
        <v>Input - Labor</v>
      </c>
      <c r="E167" s="9" t="s">
        <v>8</v>
      </c>
      <c r="G167" s="9" t="s">
        <v>1090</v>
      </c>
      <c r="H167" s="9" t="str">
        <f>IF(E167="x","Economic - "&amp;G167,"Environmental - "&amp;G167)</f>
        <v>Economic - Other</v>
      </c>
      <c r="I167" s="12" t="s">
        <v>966</v>
      </c>
      <c r="J167" s="9" t="s">
        <v>1190</v>
      </c>
      <c r="K167" s="9" t="s">
        <v>10</v>
      </c>
      <c r="L167" s="9" t="s">
        <v>16</v>
      </c>
      <c r="M167" s="9" t="s">
        <v>468</v>
      </c>
      <c r="N167" s="9">
        <f>LEN(O167) - LEN(SUBSTITUTE(O167, ";", ""))+1</f>
        <v>1</v>
      </c>
      <c r="O167" s="9" t="s">
        <v>115</v>
      </c>
      <c r="P167" s="9" t="s">
        <v>116</v>
      </c>
      <c r="Q167" s="9" t="s">
        <v>117</v>
      </c>
      <c r="R167" s="9" t="s">
        <v>118</v>
      </c>
      <c r="S167" s="9" t="s">
        <v>17</v>
      </c>
      <c r="W167" s="23"/>
    </row>
    <row r="168" spans="1:23" ht="51.5" customHeight="1" x14ac:dyDescent="0.35">
      <c r="A168" s="9" t="s">
        <v>1571</v>
      </c>
      <c r="B168" s="9" t="s">
        <v>503</v>
      </c>
      <c r="C168" s="9" t="s">
        <v>504</v>
      </c>
      <c r="D168" s="9" t="str">
        <f>B168&amp;" - "&amp;C168</f>
        <v>Management processes - Policies and programs</v>
      </c>
      <c r="F168" s="9" t="s">
        <v>8</v>
      </c>
      <c r="G168" s="9" t="s">
        <v>1090</v>
      </c>
      <c r="H168" s="9" t="str">
        <f>IF(E168="x","Economic - "&amp;G168,"Environmental - "&amp;G168)</f>
        <v>Environmental - Other</v>
      </c>
      <c r="I168" s="12" t="s">
        <v>505</v>
      </c>
      <c r="J168" s="9" t="s">
        <v>1904</v>
      </c>
      <c r="K168" s="9" t="s">
        <v>342</v>
      </c>
      <c r="L168" s="9" t="s">
        <v>343</v>
      </c>
      <c r="M168" s="9" t="s">
        <v>468</v>
      </c>
      <c r="N168" s="9">
        <f>LEN(O168) - LEN(SUBSTITUTE(O168, ";", ""))+1</f>
        <v>4</v>
      </c>
      <c r="O168" s="9" t="s">
        <v>506</v>
      </c>
      <c r="P168" s="9" t="s">
        <v>590</v>
      </c>
      <c r="Q168" s="9" t="s">
        <v>1318</v>
      </c>
      <c r="R168" s="9" t="s">
        <v>1306</v>
      </c>
      <c r="S168" s="9" t="s">
        <v>17</v>
      </c>
      <c r="W168" s="23"/>
    </row>
    <row r="169" spans="1:23" ht="51.5" customHeight="1" x14ac:dyDescent="0.35">
      <c r="A169" s="9" t="s">
        <v>1572</v>
      </c>
      <c r="B169" s="9" t="s">
        <v>503</v>
      </c>
      <c r="C169" s="9" t="s">
        <v>504</v>
      </c>
      <c r="D169" s="9" t="str">
        <f>B169&amp;" - "&amp;C169</f>
        <v>Management processes - Policies and programs</v>
      </c>
      <c r="F169" s="9" t="s">
        <v>8</v>
      </c>
      <c r="G169" s="9" t="s">
        <v>1090</v>
      </c>
      <c r="H169" s="9" t="str">
        <f>IF(E169="x","Economic - "&amp;G169,"Environmental - "&amp;G169)</f>
        <v>Environmental - Other</v>
      </c>
      <c r="I169" s="12" t="s">
        <v>507</v>
      </c>
      <c r="J169" s="9" t="s">
        <v>1135</v>
      </c>
      <c r="K169" s="9" t="s">
        <v>342</v>
      </c>
      <c r="L169" s="9" t="s">
        <v>343</v>
      </c>
      <c r="M169" s="9" t="s">
        <v>468</v>
      </c>
      <c r="N169" s="9">
        <f>LEN(O169) - LEN(SUBSTITUTE(O169, ";", ""))+1</f>
        <v>2</v>
      </c>
      <c r="O169" s="9" t="s">
        <v>508</v>
      </c>
      <c r="P169" s="9" t="s">
        <v>39</v>
      </c>
      <c r="Q169" s="9" t="s">
        <v>1312</v>
      </c>
      <c r="R169" s="9" t="s">
        <v>17</v>
      </c>
      <c r="S169" s="9" t="s">
        <v>1820</v>
      </c>
      <c r="W169" s="23"/>
    </row>
    <row r="170" spans="1:23" ht="51.5" customHeight="1" x14ac:dyDescent="0.35">
      <c r="A170" s="9" t="s">
        <v>1573</v>
      </c>
      <c r="B170" s="9" t="s">
        <v>503</v>
      </c>
      <c r="C170" s="9" t="s">
        <v>504</v>
      </c>
      <c r="D170" s="9" t="str">
        <f>B170&amp;" - "&amp;C170</f>
        <v>Management processes - Policies and programs</v>
      </c>
      <c r="F170" s="9" t="s">
        <v>8</v>
      </c>
      <c r="G170" s="9" t="s">
        <v>1090</v>
      </c>
      <c r="H170" s="9" t="str">
        <f>IF(E170="x","Economic - "&amp;G170,"Environmental - "&amp;G170)</f>
        <v>Environmental - Other</v>
      </c>
      <c r="I170" s="12" t="s">
        <v>509</v>
      </c>
      <c r="J170" s="9" t="s">
        <v>1136</v>
      </c>
      <c r="K170" s="9" t="s">
        <v>342</v>
      </c>
      <c r="L170" s="9" t="s">
        <v>343</v>
      </c>
      <c r="M170" s="9" t="s">
        <v>468</v>
      </c>
      <c r="N170" s="9">
        <f>LEN(O170) - LEN(SUBSTITUTE(O170, ";", ""))+1</f>
        <v>2</v>
      </c>
      <c r="O170" s="9" t="s">
        <v>510</v>
      </c>
      <c r="P170" s="9" t="s">
        <v>39</v>
      </c>
      <c r="Q170" s="9" t="s">
        <v>2102</v>
      </c>
      <c r="R170" s="9" t="s">
        <v>17</v>
      </c>
      <c r="S170" s="9" t="s">
        <v>1826</v>
      </c>
      <c r="W170" s="23"/>
    </row>
    <row r="171" spans="1:23" ht="51.5" customHeight="1" x14ac:dyDescent="0.35">
      <c r="A171" s="9" t="s">
        <v>1574</v>
      </c>
      <c r="B171" s="9" t="s">
        <v>503</v>
      </c>
      <c r="C171" s="9" t="s">
        <v>504</v>
      </c>
      <c r="D171" s="9" t="str">
        <f>B171&amp;" - "&amp;C171</f>
        <v>Management processes - Policies and programs</v>
      </c>
      <c r="F171" s="9" t="s">
        <v>8</v>
      </c>
      <c r="G171" s="9" t="s">
        <v>1197</v>
      </c>
      <c r="H171" s="9" t="str">
        <f>IF(E171="x","Economic - "&amp;G171,"Environmental - "&amp;G171)</f>
        <v>Environmental - Resource Use &amp; Circular Economy</v>
      </c>
      <c r="I171" s="12" t="s">
        <v>511</v>
      </c>
      <c r="J171" s="9" t="s">
        <v>1172</v>
      </c>
      <c r="K171" s="9" t="s">
        <v>342</v>
      </c>
      <c r="L171" s="9" t="s">
        <v>343</v>
      </c>
      <c r="M171" s="9" t="s">
        <v>468</v>
      </c>
      <c r="N171" s="9">
        <f>LEN(O171) - LEN(SUBSTITUTE(O171, ";", ""))+1</f>
        <v>1</v>
      </c>
      <c r="O171" s="9" t="s">
        <v>58</v>
      </c>
      <c r="P171" s="9" t="s">
        <v>39</v>
      </c>
      <c r="Q171" s="9" t="s">
        <v>17</v>
      </c>
      <c r="R171" s="9" t="s">
        <v>17</v>
      </c>
      <c r="S171" s="9" t="s">
        <v>17</v>
      </c>
      <c r="W171" s="23"/>
    </row>
    <row r="172" spans="1:23" ht="51.5" customHeight="1" x14ac:dyDescent="0.35">
      <c r="A172" s="9" t="s">
        <v>1575</v>
      </c>
      <c r="B172" s="9" t="s">
        <v>503</v>
      </c>
      <c r="C172" s="9" t="s">
        <v>504</v>
      </c>
      <c r="D172" s="9" t="str">
        <f>B172&amp;" - "&amp;C172</f>
        <v>Management processes - Policies and programs</v>
      </c>
      <c r="E172" s="9" t="s">
        <v>8</v>
      </c>
      <c r="G172" s="9" t="s">
        <v>1090</v>
      </c>
      <c r="H172" s="9" t="str">
        <f>IF(E172="x","Economic - "&amp;G172,"Environmental - "&amp;G172)</f>
        <v>Economic - Other</v>
      </c>
      <c r="I172" s="12" t="s">
        <v>512</v>
      </c>
      <c r="J172" s="9" t="s">
        <v>1173</v>
      </c>
      <c r="K172" s="9" t="s">
        <v>342</v>
      </c>
      <c r="L172" s="9" t="s">
        <v>343</v>
      </c>
      <c r="M172" s="9" t="s">
        <v>468</v>
      </c>
      <c r="N172" s="9">
        <f>LEN(O172) - LEN(SUBSTITUTE(O172, ";", ""))+1</f>
        <v>1</v>
      </c>
      <c r="O172" s="9" t="s">
        <v>207</v>
      </c>
      <c r="P172" s="9" t="s">
        <v>39</v>
      </c>
      <c r="Q172" s="9" t="s">
        <v>17</v>
      </c>
      <c r="R172" s="9" t="s">
        <v>17</v>
      </c>
      <c r="S172" s="9" t="s">
        <v>17</v>
      </c>
      <c r="W172" s="23"/>
    </row>
    <row r="173" spans="1:23" ht="51.5" customHeight="1" x14ac:dyDescent="0.35">
      <c r="A173" s="9" t="s">
        <v>1576</v>
      </c>
      <c r="B173" s="9" t="s">
        <v>503</v>
      </c>
      <c r="C173" s="9" t="s">
        <v>504</v>
      </c>
      <c r="D173" s="9" t="str">
        <f>B173&amp;" - "&amp;C173</f>
        <v>Management processes - Policies and programs</v>
      </c>
      <c r="F173" s="9" t="s">
        <v>8</v>
      </c>
      <c r="G173" s="9" t="s">
        <v>1090</v>
      </c>
      <c r="H173" s="9" t="str">
        <f>IF(E173="x","Economic - "&amp;G173,"Environmental - "&amp;G173)</f>
        <v>Environmental - Other</v>
      </c>
      <c r="I173" s="12" t="s">
        <v>513</v>
      </c>
      <c r="J173" s="9" t="s">
        <v>1258</v>
      </c>
      <c r="K173" s="9" t="s">
        <v>342</v>
      </c>
      <c r="L173" s="9" t="s">
        <v>343</v>
      </c>
      <c r="M173" s="9" t="s">
        <v>468</v>
      </c>
      <c r="N173" s="9">
        <f>LEN(O173) - LEN(SUBSTITUTE(O173, ";", ""))+1</f>
        <v>1</v>
      </c>
      <c r="O173" s="9" t="s">
        <v>207</v>
      </c>
      <c r="P173" s="9" t="s">
        <v>39</v>
      </c>
      <c r="Q173" s="9" t="s">
        <v>17</v>
      </c>
      <c r="R173" s="9" t="s">
        <v>17</v>
      </c>
      <c r="S173" s="9" t="s">
        <v>17</v>
      </c>
      <c r="W173" s="23"/>
    </row>
    <row r="174" spans="1:23" ht="51.5" customHeight="1" x14ac:dyDescent="0.35">
      <c r="A174" s="9" t="s">
        <v>1577</v>
      </c>
      <c r="B174" s="9" t="s">
        <v>503</v>
      </c>
      <c r="C174" s="9" t="s">
        <v>504</v>
      </c>
      <c r="D174" s="9" t="str">
        <f>B174&amp;" - "&amp;C174</f>
        <v>Management processes - Policies and programs</v>
      </c>
      <c r="E174" s="9" t="s">
        <v>8</v>
      </c>
      <c r="G174" s="9" t="s">
        <v>518</v>
      </c>
      <c r="H174" s="9" t="str">
        <f>IF(E174="x","Economic - "&amp;G174,"Environmental - "&amp;G174)</f>
        <v>Economic - Investments</v>
      </c>
      <c r="I174" s="12" t="s">
        <v>518</v>
      </c>
      <c r="J174" s="9" t="s">
        <v>519</v>
      </c>
      <c r="K174" s="9" t="s">
        <v>10</v>
      </c>
      <c r="L174" s="9" t="s">
        <v>19</v>
      </c>
      <c r="M174" s="9" t="s">
        <v>468</v>
      </c>
      <c r="N174" s="9">
        <f>LEN(O174) - LEN(SUBSTITUTE(O174, ";", ""))+1</f>
        <v>3</v>
      </c>
      <c r="O174" s="9" t="s">
        <v>520</v>
      </c>
      <c r="P174" s="9" t="s">
        <v>39</v>
      </c>
      <c r="Q174" s="9" t="s">
        <v>1330</v>
      </c>
      <c r="R174" s="9" t="s">
        <v>17</v>
      </c>
      <c r="S174" s="9" t="s">
        <v>1824</v>
      </c>
      <c r="W174" s="23"/>
    </row>
    <row r="175" spans="1:23" ht="51.5" customHeight="1" x14ac:dyDescent="0.35">
      <c r="A175" s="9" t="s">
        <v>1578</v>
      </c>
      <c r="B175" s="9" t="s">
        <v>503</v>
      </c>
      <c r="C175" s="9" t="s">
        <v>504</v>
      </c>
      <c r="D175" s="9" t="str">
        <f>B175&amp;" - "&amp;C175</f>
        <v>Management processes - Policies and programs</v>
      </c>
      <c r="E175" s="9" t="s">
        <v>8</v>
      </c>
      <c r="G175" s="9" t="s">
        <v>518</v>
      </c>
      <c r="H175" s="9" t="str">
        <f>IF(E175="x","Economic - "&amp;G175,"Environmental - "&amp;G175)</f>
        <v>Economic - Investments</v>
      </c>
      <c r="I175" s="12" t="s">
        <v>521</v>
      </c>
      <c r="J175" s="9" t="s">
        <v>522</v>
      </c>
      <c r="K175" s="9" t="s">
        <v>10</v>
      </c>
      <c r="L175" s="9" t="s">
        <v>19</v>
      </c>
      <c r="M175" s="9" t="s">
        <v>468</v>
      </c>
      <c r="N175" s="9">
        <f>LEN(O175) - LEN(SUBSTITUTE(O175, ";", ""))+1</f>
        <v>18</v>
      </c>
      <c r="O175" s="9" t="s">
        <v>2006</v>
      </c>
      <c r="P175" s="9" t="s">
        <v>14</v>
      </c>
      <c r="Q175" s="9" t="s">
        <v>2120</v>
      </c>
      <c r="R175" s="9" t="s">
        <v>1284</v>
      </c>
      <c r="S175" s="9" t="s">
        <v>1826</v>
      </c>
      <c r="W175" s="23"/>
    </row>
    <row r="176" spans="1:23" ht="51.5" customHeight="1" x14ac:dyDescent="0.35">
      <c r="A176" s="9" t="s">
        <v>1579</v>
      </c>
      <c r="B176" s="9" t="s">
        <v>503</v>
      </c>
      <c r="C176" s="9" t="s">
        <v>504</v>
      </c>
      <c r="D176" s="9" t="str">
        <f>B176&amp;" - "&amp;C176</f>
        <v>Management processes - Policies and programs</v>
      </c>
      <c r="F176" s="9" t="s">
        <v>8</v>
      </c>
      <c r="G176" s="9" t="s">
        <v>1089</v>
      </c>
      <c r="H176" s="9" t="str">
        <f>IF(E176="x","Economic - "&amp;G176,"Environmental - "&amp;G176)</f>
        <v>Environmental - Biodiversity &amp; Ecosystems</v>
      </c>
      <c r="I176" s="12" t="s">
        <v>527</v>
      </c>
      <c r="J176" s="9" t="s">
        <v>2169</v>
      </c>
      <c r="K176" s="9" t="s">
        <v>10</v>
      </c>
      <c r="L176" s="9" t="s">
        <v>19</v>
      </c>
      <c r="M176" s="9" t="s">
        <v>468</v>
      </c>
      <c r="N176" s="9">
        <f>LEN(O176) - LEN(SUBSTITUTE(O176, ";", ""))+1</f>
        <v>12</v>
      </c>
      <c r="O176" s="9" t="s">
        <v>1992</v>
      </c>
      <c r="P176" s="9" t="s">
        <v>74</v>
      </c>
      <c r="Q176" s="9" t="s">
        <v>1331</v>
      </c>
      <c r="R176" s="9" t="s">
        <v>17</v>
      </c>
      <c r="S176" s="9" t="s">
        <v>1826</v>
      </c>
      <c r="W176" s="23"/>
    </row>
    <row r="177" spans="1:23" ht="51.5" customHeight="1" x14ac:dyDescent="0.35">
      <c r="A177" s="9" t="s">
        <v>1580</v>
      </c>
      <c r="B177" s="9" t="s">
        <v>503</v>
      </c>
      <c r="C177" s="9" t="s">
        <v>504</v>
      </c>
      <c r="D177" s="9" t="str">
        <f>B177&amp;" - "&amp;C177</f>
        <v>Management processes - Policies and programs</v>
      </c>
      <c r="F177" s="9" t="s">
        <v>8</v>
      </c>
      <c r="G177" s="9" t="s">
        <v>1089</v>
      </c>
      <c r="H177" s="9" t="str">
        <f>IF(E177="x","Economic - "&amp;G177,"Environmental - "&amp;G177)</f>
        <v>Environmental - Biodiversity &amp; Ecosystems</v>
      </c>
      <c r="I177" s="12" t="s">
        <v>1191</v>
      </c>
      <c r="J177" s="9" t="s">
        <v>1268</v>
      </c>
      <c r="K177" s="9" t="s">
        <v>10</v>
      </c>
      <c r="L177" s="9" t="s">
        <v>1257</v>
      </c>
      <c r="M177" s="9" t="s">
        <v>468</v>
      </c>
      <c r="N177" s="9">
        <f>LEN(O177) - LEN(SUBSTITUTE(O177, ";", ""))+1</f>
        <v>1</v>
      </c>
      <c r="O177" s="9" t="s">
        <v>271</v>
      </c>
      <c r="P177" s="9" t="s">
        <v>39</v>
      </c>
      <c r="Q177" s="9" t="s">
        <v>1312</v>
      </c>
      <c r="R177" s="9" t="s">
        <v>17</v>
      </c>
      <c r="S177" s="9" t="s">
        <v>1821</v>
      </c>
      <c r="W177" s="23"/>
    </row>
    <row r="178" spans="1:23" ht="51.5" customHeight="1" x14ac:dyDescent="0.35">
      <c r="A178" s="9" t="s">
        <v>1581</v>
      </c>
      <c r="B178" s="9" t="s">
        <v>503</v>
      </c>
      <c r="C178" s="9" t="s">
        <v>504</v>
      </c>
      <c r="D178" s="9" t="str">
        <f>B178&amp;" - "&amp;C178</f>
        <v>Management processes - Policies and programs</v>
      </c>
      <c r="E178" s="9" t="s">
        <v>8</v>
      </c>
      <c r="G178" s="9" t="s">
        <v>518</v>
      </c>
      <c r="H178" s="9" t="str">
        <f>IF(E178="x","Economic - "&amp;G178,"Environmental - "&amp;G178)</f>
        <v>Economic - Investments</v>
      </c>
      <c r="I178" s="12" t="s">
        <v>528</v>
      </c>
      <c r="J178" s="9" t="s">
        <v>1137</v>
      </c>
      <c r="K178" s="9" t="s">
        <v>10</v>
      </c>
      <c r="L178" s="9" t="s">
        <v>19</v>
      </c>
      <c r="M178" s="9" t="s">
        <v>468</v>
      </c>
      <c r="N178" s="9">
        <f>LEN(O178) - LEN(SUBSTITUTE(O178, ";", ""))+1</f>
        <v>2</v>
      </c>
      <c r="O178" s="9" t="s">
        <v>252</v>
      </c>
      <c r="P178" s="9" t="s">
        <v>39</v>
      </c>
      <c r="Q178" s="9" t="s">
        <v>2108</v>
      </c>
      <c r="R178" s="9" t="s">
        <v>17</v>
      </c>
      <c r="S178" s="9" t="s">
        <v>1830</v>
      </c>
      <c r="W178" s="23"/>
    </row>
    <row r="179" spans="1:23" ht="51.5" customHeight="1" x14ac:dyDescent="0.35">
      <c r="A179" s="9" t="s">
        <v>2065</v>
      </c>
      <c r="B179" s="9" t="s">
        <v>503</v>
      </c>
      <c r="C179" s="9" t="s">
        <v>504</v>
      </c>
      <c r="D179" s="9" t="str">
        <f>B179&amp;" - "&amp;C179</f>
        <v>Management processes - Policies and programs</v>
      </c>
      <c r="E179" s="9" t="s">
        <v>8</v>
      </c>
      <c r="G179" s="9" t="s">
        <v>518</v>
      </c>
      <c r="H179" s="9" t="str">
        <f>IF(E179="x","Economic - "&amp;G179,"Environmental - "&amp;G179)</f>
        <v>Economic - Investments</v>
      </c>
      <c r="I179" s="12" t="s">
        <v>523</v>
      </c>
      <c r="J179" s="9" t="s">
        <v>524</v>
      </c>
      <c r="K179" s="9" t="s">
        <v>10</v>
      </c>
      <c r="L179" s="9" t="s">
        <v>19</v>
      </c>
      <c r="M179" s="9" t="s">
        <v>468</v>
      </c>
      <c r="N179" s="9">
        <f>LEN(O179) - LEN(SUBSTITUTE(O179, ";", ""))+1</f>
        <v>1</v>
      </c>
      <c r="O179" s="9" t="s">
        <v>525</v>
      </c>
      <c r="P179" s="9" t="s">
        <v>243</v>
      </c>
      <c r="Q179" s="9" t="s">
        <v>526</v>
      </c>
      <c r="R179" s="9" t="s">
        <v>89</v>
      </c>
      <c r="S179" s="9" t="s">
        <v>17</v>
      </c>
      <c r="W179" s="23"/>
    </row>
    <row r="180" spans="1:23" ht="51.5" customHeight="1" x14ac:dyDescent="0.35">
      <c r="A180" s="9" t="s">
        <v>1582</v>
      </c>
      <c r="B180" s="9" t="s">
        <v>503</v>
      </c>
      <c r="C180" s="9" t="s">
        <v>504</v>
      </c>
      <c r="D180" s="9" t="str">
        <f>B180&amp;" - "&amp;C180</f>
        <v>Management processes - Policies and programs</v>
      </c>
      <c r="F180" s="9" t="s">
        <v>8</v>
      </c>
      <c r="G180" s="9" t="s">
        <v>1090</v>
      </c>
      <c r="H180" s="9" t="str">
        <f>IF(E180="x","Economic - "&amp;G180,"Environmental - "&amp;G180)</f>
        <v>Environmental - Other</v>
      </c>
      <c r="I180" s="12" t="s">
        <v>514</v>
      </c>
      <c r="J180" s="9" t="s">
        <v>515</v>
      </c>
      <c r="K180" s="9" t="s">
        <v>10</v>
      </c>
      <c r="L180" s="9" t="s">
        <v>19</v>
      </c>
      <c r="M180" s="9" t="s">
        <v>468</v>
      </c>
      <c r="N180" s="9">
        <f>LEN(O180) - LEN(SUBSTITUTE(O180, ";", ""))+1</f>
        <v>1</v>
      </c>
      <c r="O180" s="9" t="s">
        <v>458</v>
      </c>
      <c r="P180" s="9" t="s">
        <v>39</v>
      </c>
      <c r="Q180" s="9" t="s">
        <v>2119</v>
      </c>
      <c r="R180" s="9" t="s">
        <v>17</v>
      </c>
      <c r="S180" s="9" t="s">
        <v>1828</v>
      </c>
      <c r="W180" s="23"/>
    </row>
    <row r="181" spans="1:23" ht="51.5" customHeight="1" x14ac:dyDescent="0.35">
      <c r="A181" s="9" t="s">
        <v>1583</v>
      </c>
      <c r="B181" s="9" t="s">
        <v>503</v>
      </c>
      <c r="C181" s="9" t="s">
        <v>504</v>
      </c>
      <c r="D181" s="9" t="str">
        <f>B181&amp;" - "&amp;C181</f>
        <v>Management processes - Policies and programs</v>
      </c>
      <c r="F181" s="9" t="s">
        <v>8</v>
      </c>
      <c r="G181" s="9" t="s">
        <v>1088</v>
      </c>
      <c r="H181" s="9" t="str">
        <f>IF(E181="x","Economic - "&amp;G181,"Environmental - "&amp;G181)</f>
        <v>Environmental - Pollution</v>
      </c>
      <c r="I181" s="12" t="s">
        <v>1902</v>
      </c>
      <c r="J181" s="9" t="s">
        <v>2168</v>
      </c>
      <c r="K181" s="9" t="s">
        <v>10</v>
      </c>
      <c r="L181" s="9" t="s">
        <v>19</v>
      </c>
      <c r="M181" s="9" t="s">
        <v>468</v>
      </c>
      <c r="N181" s="9">
        <f>LEN(O181) - LEN(SUBSTITUTE(O181, ";", ""))+1</f>
        <v>5</v>
      </c>
      <c r="O181" s="9" t="s">
        <v>1917</v>
      </c>
      <c r="P181" s="9" t="s">
        <v>74</v>
      </c>
      <c r="Q181" s="9" t="s">
        <v>1320</v>
      </c>
      <c r="R181" s="9" t="s">
        <v>17</v>
      </c>
      <c r="S181" s="9" t="s">
        <v>1826</v>
      </c>
      <c r="W181" s="23"/>
    </row>
    <row r="182" spans="1:23" ht="51.5" customHeight="1" x14ac:dyDescent="0.35">
      <c r="A182" s="9" t="s">
        <v>1584</v>
      </c>
      <c r="B182" s="9" t="s">
        <v>503</v>
      </c>
      <c r="C182" s="9" t="s">
        <v>504</v>
      </c>
      <c r="D182" s="9" t="str">
        <f>B182&amp;" - "&amp;C182</f>
        <v>Management processes - Policies and programs</v>
      </c>
      <c r="E182" s="9" t="s">
        <v>8</v>
      </c>
      <c r="G182" s="9" t="s">
        <v>1086</v>
      </c>
      <c r="H182" s="9" t="str">
        <f>IF(E182="x","Economic - "&amp;G182,"Environmental - "&amp;G182)</f>
        <v>Economic - Cost</v>
      </c>
      <c r="I182" s="12" t="s">
        <v>516</v>
      </c>
      <c r="J182" s="9" t="s">
        <v>1255</v>
      </c>
      <c r="K182" s="9" t="s">
        <v>10</v>
      </c>
      <c r="L182" s="9" t="s">
        <v>19</v>
      </c>
      <c r="M182" s="9" t="s">
        <v>468</v>
      </c>
      <c r="N182" s="9">
        <f>LEN(O182) - LEN(SUBSTITUTE(O182, ";", ""))+1</f>
        <v>2</v>
      </c>
      <c r="O182" s="9" t="s">
        <v>517</v>
      </c>
      <c r="P182" s="9" t="s">
        <v>39</v>
      </c>
      <c r="Q182" s="9" t="s">
        <v>1293</v>
      </c>
      <c r="R182" s="9" t="s">
        <v>17</v>
      </c>
      <c r="S182" s="9" t="s">
        <v>1827</v>
      </c>
      <c r="W182" s="23"/>
    </row>
    <row r="183" spans="1:23" ht="51.5" customHeight="1" x14ac:dyDescent="0.35">
      <c r="A183" s="9" t="s">
        <v>1585</v>
      </c>
      <c r="B183" s="9" t="s">
        <v>503</v>
      </c>
      <c r="C183" s="9" t="s">
        <v>504</v>
      </c>
      <c r="D183" s="9" t="str">
        <f>B183&amp;" - "&amp;C183</f>
        <v>Management processes - Policies and programs</v>
      </c>
      <c r="F183" s="9" t="s">
        <v>8</v>
      </c>
      <c r="G183" s="9" t="s">
        <v>1090</v>
      </c>
      <c r="H183" s="9" t="str">
        <f>IF(E183="x","Economic - "&amp;G183,"Environmental - "&amp;G183)</f>
        <v>Environmental - Other</v>
      </c>
      <c r="I183" s="12" t="s">
        <v>529</v>
      </c>
      <c r="J183" s="9" t="s">
        <v>1138</v>
      </c>
      <c r="K183" s="9" t="s">
        <v>10</v>
      </c>
      <c r="L183" s="9" t="s">
        <v>57</v>
      </c>
      <c r="M183" s="9" t="s">
        <v>468</v>
      </c>
      <c r="N183" s="9">
        <f>LEN(O183) - LEN(SUBSTITUTE(O183, ";", ""))+1</f>
        <v>1</v>
      </c>
      <c r="O183" s="9" t="s">
        <v>207</v>
      </c>
      <c r="P183" s="9" t="s">
        <v>39</v>
      </c>
      <c r="Q183" s="9" t="s">
        <v>17</v>
      </c>
      <c r="R183" s="9" t="s">
        <v>17</v>
      </c>
      <c r="S183" s="9" t="s">
        <v>17</v>
      </c>
      <c r="W183" s="23"/>
    </row>
    <row r="184" spans="1:23" ht="51.5" customHeight="1" x14ac:dyDescent="0.35">
      <c r="A184" s="9" t="s">
        <v>1586</v>
      </c>
      <c r="B184" s="9" t="s">
        <v>503</v>
      </c>
      <c r="C184" s="9" t="s">
        <v>504</v>
      </c>
      <c r="D184" s="9" t="str">
        <f>B184&amp;" - "&amp;C184</f>
        <v>Management processes - Policies and programs</v>
      </c>
      <c r="F184" s="9" t="s">
        <v>8</v>
      </c>
      <c r="G184" s="9" t="s">
        <v>1089</v>
      </c>
      <c r="H184" s="9" t="str">
        <f>IF(E184="x","Economic - "&amp;G184,"Environmental - "&amp;G184)</f>
        <v>Environmental - Biodiversity &amp; Ecosystems</v>
      </c>
      <c r="I184" s="12" t="s">
        <v>530</v>
      </c>
      <c r="J184" s="9" t="s">
        <v>1174</v>
      </c>
      <c r="K184" s="9" t="s">
        <v>10</v>
      </c>
      <c r="L184" s="9" t="s">
        <v>57</v>
      </c>
      <c r="M184" s="9" t="s">
        <v>468</v>
      </c>
      <c r="N184" s="9">
        <f>LEN(O184) - LEN(SUBSTITUTE(O184, ";", ""))+1</f>
        <v>1</v>
      </c>
      <c r="O184" s="9" t="s">
        <v>192</v>
      </c>
      <c r="P184" s="9" t="s">
        <v>39</v>
      </c>
      <c r="Q184" s="9" t="s">
        <v>124</v>
      </c>
      <c r="R184" s="9" t="s">
        <v>17</v>
      </c>
      <c r="S184" s="9" t="s">
        <v>17</v>
      </c>
      <c r="W184" s="23"/>
    </row>
    <row r="185" spans="1:23" ht="51.5" customHeight="1" x14ac:dyDescent="0.35">
      <c r="A185" s="9" t="s">
        <v>2066</v>
      </c>
      <c r="B185" s="9" t="s">
        <v>503</v>
      </c>
      <c r="C185" s="9" t="s">
        <v>504</v>
      </c>
      <c r="D185" s="9" t="str">
        <f>B185&amp;" - "&amp;C185</f>
        <v>Management processes - Policies and programs</v>
      </c>
      <c r="E185" s="9" t="s">
        <v>8</v>
      </c>
      <c r="G185" s="9" t="s">
        <v>518</v>
      </c>
      <c r="H185" s="9" t="str">
        <f>IF(E185="x","Economic - "&amp;G185,"Environmental - "&amp;G185)</f>
        <v>Economic - Investments</v>
      </c>
      <c r="I185" s="12" t="s">
        <v>531</v>
      </c>
      <c r="J185" s="9" t="s">
        <v>1175</v>
      </c>
      <c r="K185" s="9" t="s">
        <v>10</v>
      </c>
      <c r="L185" s="9" t="s">
        <v>57</v>
      </c>
      <c r="M185" s="9" t="s">
        <v>468</v>
      </c>
      <c r="N185" s="9">
        <f>LEN(O185) - LEN(SUBSTITUTE(O185, ";", ""))+1</f>
        <v>1</v>
      </c>
      <c r="O185" s="9" t="s">
        <v>458</v>
      </c>
      <c r="P185" s="9" t="s">
        <v>39</v>
      </c>
      <c r="Q185" s="9" t="s">
        <v>2119</v>
      </c>
      <c r="R185" s="9" t="s">
        <v>17</v>
      </c>
      <c r="S185" s="9" t="s">
        <v>1828</v>
      </c>
      <c r="W185" s="23"/>
    </row>
    <row r="186" spans="1:23" ht="51.5" customHeight="1" x14ac:dyDescent="0.35">
      <c r="A186" s="9" t="s">
        <v>1587</v>
      </c>
      <c r="B186" s="9" t="s">
        <v>503</v>
      </c>
      <c r="C186" s="9" t="s">
        <v>504</v>
      </c>
      <c r="D186" s="9" t="str">
        <f>B186&amp;" - "&amp;C186</f>
        <v>Management processes - Policies and programs</v>
      </c>
      <c r="F186" s="9" t="s">
        <v>8</v>
      </c>
      <c r="G186" s="9" t="s">
        <v>1199</v>
      </c>
      <c r="H186" s="9" t="str">
        <f>IF(E186="x","Economic - "&amp;G186,"Environmental - "&amp;G186)</f>
        <v>Environmental - Climate Change</v>
      </c>
      <c r="I186" s="12" t="s">
        <v>1953</v>
      </c>
      <c r="J186" s="9" t="s">
        <v>1954</v>
      </c>
      <c r="K186" s="9" t="s">
        <v>342</v>
      </c>
      <c r="L186" s="9" t="s">
        <v>343</v>
      </c>
      <c r="M186" s="9" t="s">
        <v>468</v>
      </c>
      <c r="N186" s="9">
        <f>LEN(O186) - LEN(SUBSTITUTE(O186, ";", ""))+1</f>
        <v>1</v>
      </c>
      <c r="O186" s="9" t="s">
        <v>344</v>
      </c>
      <c r="P186" s="9" t="s">
        <v>84</v>
      </c>
      <c r="Q186" s="9" t="s">
        <v>17</v>
      </c>
      <c r="R186" s="9" t="s">
        <v>17</v>
      </c>
      <c r="S186" s="9" t="s">
        <v>17</v>
      </c>
      <c r="W186" s="23"/>
    </row>
    <row r="187" spans="1:23" ht="51.5" customHeight="1" x14ac:dyDescent="0.35">
      <c r="A187" s="9" t="s">
        <v>1588</v>
      </c>
      <c r="B187" s="9" t="s">
        <v>503</v>
      </c>
      <c r="C187" s="9" t="s">
        <v>504</v>
      </c>
      <c r="D187" s="9" t="str">
        <f>B187&amp;" - "&amp;C187</f>
        <v>Management processes - Policies and programs</v>
      </c>
      <c r="E187" s="9" t="s">
        <v>8</v>
      </c>
      <c r="G187" s="9" t="s">
        <v>1090</v>
      </c>
      <c r="H187" s="9" t="str">
        <f>IF(E187="x","Economic - "&amp;G187,"Environmental - "&amp;G187)</f>
        <v>Economic - Other</v>
      </c>
      <c r="I187" s="12" t="s">
        <v>532</v>
      </c>
      <c r="J187" s="9" t="s">
        <v>533</v>
      </c>
      <c r="K187" s="9" t="s">
        <v>10</v>
      </c>
      <c r="L187" s="9" t="s">
        <v>57</v>
      </c>
      <c r="M187" s="9" t="s">
        <v>468</v>
      </c>
      <c r="N187" s="9">
        <f>LEN(O187) - LEN(SUBSTITUTE(O187, ";", ""))+1</f>
        <v>1</v>
      </c>
      <c r="O187" s="9" t="s">
        <v>177</v>
      </c>
      <c r="P187" s="9" t="s">
        <v>74</v>
      </c>
      <c r="Q187" s="9" t="s">
        <v>17</v>
      </c>
      <c r="R187" s="9" t="s">
        <v>17</v>
      </c>
      <c r="S187" s="9" t="s">
        <v>17</v>
      </c>
      <c r="W187" s="23"/>
    </row>
    <row r="188" spans="1:23" ht="51.5" customHeight="1" x14ac:dyDescent="0.35">
      <c r="A188" s="9" t="s">
        <v>1589</v>
      </c>
      <c r="B188" s="9" t="s">
        <v>503</v>
      </c>
      <c r="C188" s="9" t="s">
        <v>504</v>
      </c>
      <c r="D188" s="9" t="str">
        <f>B188&amp;" - "&amp;C188</f>
        <v>Management processes - Policies and programs</v>
      </c>
      <c r="E188" s="9" t="s">
        <v>8</v>
      </c>
      <c r="G188" s="9" t="s">
        <v>518</v>
      </c>
      <c r="H188" s="9" t="str">
        <f>IF(E188="x","Economic - "&amp;G188,"Environmental - "&amp;G188)</f>
        <v>Economic - Investments</v>
      </c>
      <c r="I188" s="12" t="s">
        <v>534</v>
      </c>
      <c r="J188" s="9" t="s">
        <v>535</v>
      </c>
      <c r="K188" s="9" t="s">
        <v>10</v>
      </c>
      <c r="L188" s="9" t="s">
        <v>57</v>
      </c>
      <c r="M188" s="9" t="s">
        <v>468</v>
      </c>
      <c r="N188" s="9">
        <f>LEN(O188) - LEN(SUBSTITUTE(O188, ";", ""))+1</f>
        <v>1</v>
      </c>
      <c r="O188" s="9" t="s">
        <v>271</v>
      </c>
      <c r="P188" s="9" t="s">
        <v>39</v>
      </c>
      <c r="Q188" s="9" t="s">
        <v>1312</v>
      </c>
      <c r="R188" s="9" t="s">
        <v>17</v>
      </c>
      <c r="S188" s="9" t="s">
        <v>1821</v>
      </c>
      <c r="W188" s="23"/>
    </row>
    <row r="189" spans="1:23" ht="51.5" customHeight="1" x14ac:dyDescent="0.35">
      <c r="A189" s="9" t="s">
        <v>1590</v>
      </c>
      <c r="B189" s="9" t="s">
        <v>503</v>
      </c>
      <c r="C189" s="9" t="s">
        <v>504</v>
      </c>
      <c r="D189" s="9" t="str">
        <f>B189&amp;" - "&amp;C189</f>
        <v>Management processes - Policies and programs</v>
      </c>
      <c r="E189" s="9" t="s">
        <v>8</v>
      </c>
      <c r="G189" s="9" t="s">
        <v>1090</v>
      </c>
      <c r="H189" s="9" t="str">
        <f>IF(E189="x","Economic - "&amp;G189,"Environmental - "&amp;G189)</f>
        <v>Economic - Other</v>
      </c>
      <c r="I189" s="12" t="s">
        <v>536</v>
      </c>
      <c r="J189" s="9" t="s">
        <v>537</v>
      </c>
      <c r="K189" s="9" t="s">
        <v>10</v>
      </c>
      <c r="L189" s="9" t="s">
        <v>19</v>
      </c>
      <c r="M189" s="9" t="s">
        <v>468</v>
      </c>
      <c r="N189" s="9">
        <f>LEN(O189) - LEN(SUBSTITUTE(O189, ";", ""))+1</f>
        <v>1</v>
      </c>
      <c r="O189" s="9" t="s">
        <v>1043</v>
      </c>
      <c r="P189" s="9" t="s">
        <v>39</v>
      </c>
      <c r="Q189" s="9" t="s">
        <v>17</v>
      </c>
      <c r="R189" s="9" t="s">
        <v>17</v>
      </c>
      <c r="S189" s="9" t="s">
        <v>1821</v>
      </c>
      <c r="W189" s="23"/>
    </row>
    <row r="190" spans="1:23" ht="51.5" customHeight="1" x14ac:dyDescent="0.35">
      <c r="A190" s="9" t="s">
        <v>1591</v>
      </c>
      <c r="B190" s="9" t="s">
        <v>503</v>
      </c>
      <c r="C190" s="9" t="s">
        <v>504</v>
      </c>
      <c r="D190" s="9" t="str">
        <f>B190&amp;" - "&amp;C190</f>
        <v>Management processes - Policies and programs</v>
      </c>
      <c r="F190" s="9" t="s">
        <v>8</v>
      </c>
      <c r="G190" s="9" t="s">
        <v>1199</v>
      </c>
      <c r="H190" s="9" t="str">
        <f>IF(E190="x","Economic - "&amp;G190,"Environmental - "&amp;G190)</f>
        <v>Environmental - Climate Change</v>
      </c>
      <c r="I190" s="12" t="s">
        <v>1084</v>
      </c>
      <c r="J190" s="9" t="s">
        <v>1085</v>
      </c>
      <c r="K190" s="9" t="s">
        <v>10</v>
      </c>
      <c r="L190" s="9" t="s">
        <v>220</v>
      </c>
      <c r="M190" s="9" t="s">
        <v>538</v>
      </c>
      <c r="N190" s="9">
        <f>LEN(O190) - LEN(SUBSTITUTE(O190, ";", ""))+1</f>
        <v>7</v>
      </c>
      <c r="O190" s="9" t="s">
        <v>1997</v>
      </c>
      <c r="P190" s="9" t="s">
        <v>50</v>
      </c>
      <c r="Q190" s="9" t="s">
        <v>1294</v>
      </c>
      <c r="R190" s="9" t="s">
        <v>1328</v>
      </c>
      <c r="S190" s="9" t="s">
        <v>1820</v>
      </c>
      <c r="W190" s="23"/>
    </row>
    <row r="191" spans="1:23" ht="51.5" customHeight="1" x14ac:dyDescent="0.35">
      <c r="A191" s="9" t="s">
        <v>1592</v>
      </c>
      <c r="B191" s="9" t="s">
        <v>503</v>
      </c>
      <c r="C191" s="9" t="s">
        <v>504</v>
      </c>
      <c r="D191" s="9" t="str">
        <f>B191&amp;" - "&amp;C191</f>
        <v>Management processes - Policies and programs</v>
      </c>
      <c r="F191" s="9" t="s">
        <v>8</v>
      </c>
      <c r="G191" s="9" t="s">
        <v>1197</v>
      </c>
      <c r="H191" s="9" t="str">
        <f>IF(E191="x","Economic - "&amp;G191,"Environmental - "&amp;G191)</f>
        <v>Environmental - Resource Use &amp; Circular Economy</v>
      </c>
      <c r="I191" s="12" t="s">
        <v>539</v>
      </c>
      <c r="J191" s="9" t="s">
        <v>1254</v>
      </c>
      <c r="K191" s="9" t="s">
        <v>10</v>
      </c>
      <c r="L191" s="9" t="s">
        <v>11</v>
      </c>
      <c r="M191" s="9" t="s">
        <v>468</v>
      </c>
      <c r="N191" s="9">
        <f>LEN(O191) - LEN(SUBSTITUTE(O191, ";", ""))+1</f>
        <v>2</v>
      </c>
      <c r="O191" s="9" t="s">
        <v>167</v>
      </c>
      <c r="P191" s="9" t="s">
        <v>51</v>
      </c>
      <c r="Q191" s="9" t="s">
        <v>17</v>
      </c>
      <c r="R191" s="9" t="s">
        <v>17</v>
      </c>
      <c r="S191" s="9" t="s">
        <v>1820</v>
      </c>
      <c r="W191" s="23"/>
    </row>
    <row r="192" spans="1:23" ht="51.5" customHeight="1" x14ac:dyDescent="0.35">
      <c r="A192" s="9" t="s">
        <v>1593</v>
      </c>
      <c r="B192" s="9" t="s">
        <v>503</v>
      </c>
      <c r="C192" s="9" t="s">
        <v>504</v>
      </c>
      <c r="D192" s="9" t="str">
        <f>B192&amp;" - "&amp;C192</f>
        <v>Management processes - Policies and programs</v>
      </c>
      <c r="F192" s="9" t="s">
        <v>8</v>
      </c>
      <c r="G192" s="9" t="s">
        <v>1199</v>
      </c>
      <c r="H192" s="9" t="str">
        <f>IF(E192="x","Economic - "&amp;G192,"Environmental - "&amp;G192)</f>
        <v>Environmental - Climate Change</v>
      </c>
      <c r="I192" s="12" t="s">
        <v>1133</v>
      </c>
      <c r="J192" s="9" t="s">
        <v>1253</v>
      </c>
      <c r="K192" s="9" t="s">
        <v>10</v>
      </c>
      <c r="L192" s="9" t="s">
        <v>295</v>
      </c>
      <c r="M192" s="9" t="s">
        <v>468</v>
      </c>
      <c r="N192" s="9">
        <f>LEN(O192) - LEN(SUBSTITUTE(O192, ";", ""))+1</f>
        <v>1</v>
      </c>
      <c r="O192" s="9" t="s">
        <v>1043</v>
      </c>
      <c r="P192" s="9" t="s">
        <v>39</v>
      </c>
      <c r="Q192" s="9" t="s">
        <v>17</v>
      </c>
      <c r="R192" s="9" t="s">
        <v>17</v>
      </c>
      <c r="S192" s="9" t="s">
        <v>1821</v>
      </c>
      <c r="W192" s="23"/>
    </row>
    <row r="193" spans="1:23" ht="51.5" customHeight="1" x14ac:dyDescent="0.35">
      <c r="A193" s="9" t="s">
        <v>1594</v>
      </c>
      <c r="B193" s="9" t="s">
        <v>503</v>
      </c>
      <c r="C193" s="9" t="s">
        <v>504</v>
      </c>
      <c r="D193" s="9" t="str">
        <f>B193&amp;" - "&amp;C193</f>
        <v>Management processes - Policies and programs</v>
      </c>
      <c r="F193" s="9" t="s">
        <v>8</v>
      </c>
      <c r="G193" s="9" t="s">
        <v>1090</v>
      </c>
      <c r="H193" s="9" t="str">
        <f>IF(E193="x","Economic - "&amp;G193,"Environmental - "&amp;G193)</f>
        <v>Environmental - Other</v>
      </c>
      <c r="I193" s="12" t="s">
        <v>541</v>
      </c>
      <c r="J193" s="9" t="s">
        <v>542</v>
      </c>
      <c r="K193" s="9" t="s">
        <v>10</v>
      </c>
      <c r="L193" s="9" t="s">
        <v>57</v>
      </c>
      <c r="M193" s="9" t="s">
        <v>468</v>
      </c>
      <c r="N193" s="9">
        <f>LEN(O193) - LEN(SUBSTITUTE(O193, ";", ""))+1</f>
        <v>1</v>
      </c>
      <c r="O193" s="9" t="s">
        <v>60</v>
      </c>
      <c r="P193" s="9" t="s">
        <v>39</v>
      </c>
      <c r="Q193" s="9" t="s">
        <v>61</v>
      </c>
      <c r="R193" s="9" t="s">
        <v>17</v>
      </c>
      <c r="S193" s="9" t="s">
        <v>1821</v>
      </c>
      <c r="W193" s="23"/>
    </row>
    <row r="194" spans="1:23" ht="51.5" customHeight="1" x14ac:dyDescent="0.35">
      <c r="A194" s="9" t="s">
        <v>1595</v>
      </c>
      <c r="B194" s="9" t="s">
        <v>503</v>
      </c>
      <c r="C194" s="9" t="s">
        <v>504</v>
      </c>
      <c r="D194" s="9" t="str">
        <f>B194&amp;" - "&amp;C194</f>
        <v>Management processes - Policies and programs</v>
      </c>
      <c r="F194" s="9" t="s">
        <v>8</v>
      </c>
      <c r="G194" s="9" t="s">
        <v>1090</v>
      </c>
      <c r="H194" s="9" t="str">
        <f>IF(E194="x","Economic - "&amp;G194,"Environmental - "&amp;G194)</f>
        <v>Environmental - Other</v>
      </c>
      <c r="I194" s="12" t="s">
        <v>543</v>
      </c>
      <c r="J194" s="9" t="s">
        <v>544</v>
      </c>
      <c r="K194" s="9" t="s">
        <v>10</v>
      </c>
      <c r="L194" s="9" t="s">
        <v>57</v>
      </c>
      <c r="M194" s="9" t="s">
        <v>468</v>
      </c>
      <c r="N194" s="9">
        <f>LEN(O194) - LEN(SUBSTITUTE(O194, ";", ""))+1</f>
        <v>1</v>
      </c>
      <c r="O194" s="9" t="s">
        <v>177</v>
      </c>
      <c r="P194" s="9" t="s">
        <v>74</v>
      </c>
      <c r="Q194" s="9" t="s">
        <v>17</v>
      </c>
      <c r="R194" s="9" t="s">
        <v>17</v>
      </c>
      <c r="S194" s="9" t="s">
        <v>17</v>
      </c>
      <c r="W194" s="23"/>
    </row>
    <row r="195" spans="1:23" ht="51.5" customHeight="1" x14ac:dyDescent="0.35">
      <c r="A195" s="9" t="s">
        <v>1596</v>
      </c>
      <c r="B195" s="9" t="s">
        <v>503</v>
      </c>
      <c r="C195" s="9" t="s">
        <v>504</v>
      </c>
      <c r="D195" s="9" t="str">
        <f>B195&amp;" - "&amp;C195</f>
        <v>Management processes - Policies and programs</v>
      </c>
      <c r="F195" s="9" t="s">
        <v>8</v>
      </c>
      <c r="G195" s="9" t="s">
        <v>1090</v>
      </c>
      <c r="H195" s="9" t="str">
        <f>IF(E195="x","Economic - "&amp;G195,"Environmental - "&amp;G195)</f>
        <v>Environmental - Other</v>
      </c>
      <c r="I195" s="12" t="s">
        <v>545</v>
      </c>
      <c r="J195" s="9" t="s">
        <v>546</v>
      </c>
      <c r="K195" s="9" t="s">
        <v>342</v>
      </c>
      <c r="L195" s="9" t="s">
        <v>343</v>
      </c>
      <c r="M195" s="9" t="s">
        <v>468</v>
      </c>
      <c r="N195" s="9">
        <f>LEN(O195) - LEN(SUBSTITUTE(O195, ";", ""))+1</f>
        <v>1</v>
      </c>
      <c r="O195" s="9" t="s">
        <v>177</v>
      </c>
      <c r="P195" s="9" t="s">
        <v>74</v>
      </c>
      <c r="Q195" s="9" t="s">
        <v>17</v>
      </c>
      <c r="R195" s="9" t="s">
        <v>17</v>
      </c>
      <c r="S195" s="9" t="s">
        <v>17</v>
      </c>
      <c r="W195" s="23"/>
    </row>
    <row r="196" spans="1:23" ht="51.5" customHeight="1" x14ac:dyDescent="0.35">
      <c r="A196" s="9" t="s">
        <v>1597</v>
      </c>
      <c r="B196" s="9" t="s">
        <v>503</v>
      </c>
      <c r="C196" s="9" t="s">
        <v>547</v>
      </c>
      <c r="D196" s="9" t="str">
        <f>B196&amp;" - "&amp;C196</f>
        <v>Management processes - Regulatory compliance</v>
      </c>
      <c r="F196" s="9" t="s">
        <v>8</v>
      </c>
      <c r="G196" s="9" t="s">
        <v>1090</v>
      </c>
      <c r="H196" s="9" t="str">
        <f>IF(E196="x","Economic - "&amp;G196,"Environmental - "&amp;G196)</f>
        <v>Environmental - Other</v>
      </c>
      <c r="I196" s="12" t="s">
        <v>548</v>
      </c>
      <c r="J196" s="9" t="s">
        <v>1098</v>
      </c>
      <c r="K196" s="9" t="s">
        <v>342</v>
      </c>
      <c r="L196" s="9" t="s">
        <v>343</v>
      </c>
      <c r="M196" s="9" t="s">
        <v>468</v>
      </c>
      <c r="N196" s="9">
        <f>LEN(O196) - LEN(SUBSTITUTE(O196, ";", ""))+1</f>
        <v>5</v>
      </c>
      <c r="O196" s="9" t="s">
        <v>549</v>
      </c>
      <c r="P196" s="9" t="s">
        <v>74</v>
      </c>
      <c r="Q196" s="9" t="s">
        <v>1333</v>
      </c>
      <c r="R196" s="9" t="s">
        <v>1334</v>
      </c>
      <c r="S196" s="9" t="s">
        <v>1822</v>
      </c>
      <c r="W196" s="23"/>
    </row>
    <row r="197" spans="1:23" ht="51.5" customHeight="1" x14ac:dyDescent="0.35">
      <c r="A197" s="9" t="s">
        <v>1598</v>
      </c>
      <c r="B197" s="9" t="s">
        <v>503</v>
      </c>
      <c r="C197" s="9" t="s">
        <v>547</v>
      </c>
      <c r="D197" s="9" t="str">
        <f>B197&amp;" - "&amp;C197</f>
        <v>Management processes - Regulatory compliance</v>
      </c>
      <c r="F197" s="9" t="s">
        <v>8</v>
      </c>
      <c r="G197" s="9" t="s">
        <v>1090</v>
      </c>
      <c r="H197" s="9" t="str">
        <f>IF(E197="x","Economic - "&amp;G197,"Environmental - "&amp;G197)</f>
        <v>Environmental - Other</v>
      </c>
      <c r="I197" s="12" t="s">
        <v>550</v>
      </c>
      <c r="J197" s="9" t="s">
        <v>1101</v>
      </c>
      <c r="K197" s="9" t="s">
        <v>10</v>
      </c>
      <c r="L197" s="9" t="s">
        <v>57</v>
      </c>
      <c r="M197" s="9" t="s">
        <v>468</v>
      </c>
      <c r="N197" s="9">
        <f>LEN(O197) - LEN(SUBSTITUTE(O197, ";", ""))+1</f>
        <v>4</v>
      </c>
      <c r="O197" s="9" t="s">
        <v>551</v>
      </c>
      <c r="P197" s="9" t="s">
        <v>14</v>
      </c>
      <c r="Q197" s="9" t="s">
        <v>1335</v>
      </c>
      <c r="R197" s="9" t="s">
        <v>1284</v>
      </c>
      <c r="S197" s="9" t="s">
        <v>1824</v>
      </c>
      <c r="W197" s="23"/>
    </row>
    <row r="198" spans="1:23" ht="51.5" customHeight="1" x14ac:dyDescent="0.35">
      <c r="A198" s="9" t="s">
        <v>1599</v>
      </c>
      <c r="B198" s="9" t="s">
        <v>503</v>
      </c>
      <c r="C198" s="9" t="s">
        <v>547</v>
      </c>
      <c r="D198" s="9" t="str">
        <f>B198&amp;" - "&amp;C198</f>
        <v>Management processes - Regulatory compliance</v>
      </c>
      <c r="F198" s="9" t="s">
        <v>8</v>
      </c>
      <c r="G198" s="9" t="s">
        <v>1090</v>
      </c>
      <c r="H198" s="9" t="str">
        <f>IF(E198="x","Economic - "&amp;G198,"Environmental - "&amp;G198)</f>
        <v>Environmental - Other</v>
      </c>
      <c r="I198" s="12" t="s">
        <v>552</v>
      </c>
      <c r="J198" s="9" t="s">
        <v>553</v>
      </c>
      <c r="K198" s="9" t="s">
        <v>10</v>
      </c>
      <c r="L198" s="9" t="s">
        <v>57</v>
      </c>
      <c r="M198" s="9" t="s">
        <v>468</v>
      </c>
      <c r="N198" s="9">
        <f>LEN(O198) - LEN(SUBSTITUTE(O198, ";", ""))+1</f>
        <v>1</v>
      </c>
      <c r="O198" s="9" t="s">
        <v>2085</v>
      </c>
      <c r="P198" s="9" t="s">
        <v>84</v>
      </c>
      <c r="Q198" s="9" t="s">
        <v>17</v>
      </c>
      <c r="R198" s="9" t="s">
        <v>1332</v>
      </c>
      <c r="S198" s="9" t="s">
        <v>17</v>
      </c>
      <c r="W198" s="23"/>
    </row>
    <row r="199" spans="1:23" ht="51.5" customHeight="1" x14ac:dyDescent="0.35">
      <c r="A199" s="9" t="s">
        <v>1600</v>
      </c>
      <c r="B199" s="9" t="s">
        <v>503</v>
      </c>
      <c r="C199" s="9" t="s">
        <v>547</v>
      </c>
      <c r="D199" s="9" t="str">
        <f>B199&amp;" - "&amp;C199</f>
        <v>Management processes - Regulatory compliance</v>
      </c>
      <c r="F199" s="9" t="s">
        <v>8</v>
      </c>
      <c r="G199" s="9" t="s">
        <v>1197</v>
      </c>
      <c r="H199" s="9" t="str">
        <f>IF(E199="x","Economic - "&amp;G199,"Environmental - "&amp;G199)</f>
        <v>Environmental - Resource Use &amp; Circular Economy</v>
      </c>
      <c r="I199" s="12" t="s">
        <v>554</v>
      </c>
      <c r="J199" s="9" t="s">
        <v>555</v>
      </c>
      <c r="K199" s="9" t="s">
        <v>10</v>
      </c>
      <c r="L199" s="9" t="s">
        <v>57</v>
      </c>
      <c r="M199" s="9" t="s">
        <v>468</v>
      </c>
      <c r="N199" s="9">
        <f>LEN(O199) - LEN(SUBSTITUTE(O199, ";", ""))+1</f>
        <v>1</v>
      </c>
      <c r="O199" s="9" t="s">
        <v>115</v>
      </c>
      <c r="P199" s="9" t="s">
        <v>116</v>
      </c>
      <c r="Q199" s="9" t="s">
        <v>117</v>
      </c>
      <c r="R199" s="9" t="s">
        <v>118</v>
      </c>
      <c r="S199" s="9" t="s">
        <v>17</v>
      </c>
      <c r="W199" s="23"/>
    </row>
    <row r="200" spans="1:23" ht="51.5" customHeight="1" x14ac:dyDescent="0.35">
      <c r="A200" s="9" t="s">
        <v>1601</v>
      </c>
      <c r="B200" s="9" t="s">
        <v>503</v>
      </c>
      <c r="C200" s="9" t="s">
        <v>547</v>
      </c>
      <c r="D200" s="9" t="str">
        <f>B200&amp;" - "&amp;C200</f>
        <v>Management processes - Regulatory compliance</v>
      </c>
      <c r="F200" s="9" t="s">
        <v>8</v>
      </c>
      <c r="G200" s="9" t="s">
        <v>1197</v>
      </c>
      <c r="H200" s="9" t="str">
        <f>IF(E200="x","Economic - "&amp;G200,"Environmental - "&amp;G200)</f>
        <v>Environmental - Resource Use &amp; Circular Economy</v>
      </c>
      <c r="I200" s="12" t="s">
        <v>556</v>
      </c>
      <c r="J200" s="9" t="s">
        <v>557</v>
      </c>
      <c r="K200" s="9" t="s">
        <v>10</v>
      </c>
      <c r="L200" s="9" t="s">
        <v>57</v>
      </c>
      <c r="M200" s="9" t="s">
        <v>468</v>
      </c>
      <c r="N200" s="9">
        <f>LEN(O200) - LEN(SUBSTITUTE(O200, ";", ""))+1</f>
        <v>1</v>
      </c>
      <c r="O200" s="9" t="s">
        <v>115</v>
      </c>
      <c r="P200" s="9" t="s">
        <v>116</v>
      </c>
      <c r="Q200" s="9" t="s">
        <v>117</v>
      </c>
      <c r="R200" s="9" t="s">
        <v>118</v>
      </c>
      <c r="S200" s="9" t="s">
        <v>17</v>
      </c>
      <c r="W200" s="23"/>
    </row>
    <row r="201" spans="1:23" ht="51.5" customHeight="1" x14ac:dyDescent="0.35">
      <c r="A201" s="9" t="s">
        <v>1602</v>
      </c>
      <c r="B201" s="9" t="s">
        <v>503</v>
      </c>
      <c r="C201" s="9" t="s">
        <v>547</v>
      </c>
      <c r="D201" s="9" t="str">
        <f>B201&amp;" - "&amp;C201</f>
        <v>Management processes - Regulatory compliance</v>
      </c>
      <c r="F201" s="9" t="s">
        <v>8</v>
      </c>
      <c r="G201" s="9" t="s">
        <v>1090</v>
      </c>
      <c r="H201" s="9" t="str">
        <f>IF(E201="x","Economic - "&amp;G201,"Environmental - "&amp;G201)</f>
        <v>Environmental - Other</v>
      </c>
      <c r="I201" s="12" t="s">
        <v>558</v>
      </c>
      <c r="J201" s="9" t="s">
        <v>559</v>
      </c>
      <c r="K201" s="9" t="s">
        <v>10</v>
      </c>
      <c r="L201" s="9" t="s">
        <v>1273</v>
      </c>
      <c r="M201" s="9" t="s">
        <v>468</v>
      </c>
      <c r="N201" s="9">
        <f>LEN(O201) - LEN(SUBSTITUTE(O201, ";", ""))+1</f>
        <v>1</v>
      </c>
      <c r="O201" s="9" t="s">
        <v>177</v>
      </c>
      <c r="P201" s="9" t="s">
        <v>74</v>
      </c>
      <c r="Q201" s="9" t="s">
        <v>17</v>
      </c>
      <c r="R201" s="9" t="s">
        <v>17</v>
      </c>
      <c r="S201" s="9" t="s">
        <v>17</v>
      </c>
      <c r="W201" s="23"/>
    </row>
    <row r="202" spans="1:23" ht="51.5" customHeight="1" x14ac:dyDescent="0.35">
      <c r="A202" s="9" t="s">
        <v>1603</v>
      </c>
      <c r="B202" s="9" t="s">
        <v>503</v>
      </c>
      <c r="C202" s="9" t="s">
        <v>547</v>
      </c>
      <c r="D202" s="9" t="str">
        <f>B202&amp;" - "&amp;C202</f>
        <v>Management processes - Regulatory compliance</v>
      </c>
      <c r="F202" s="9" t="s">
        <v>8</v>
      </c>
      <c r="G202" s="9" t="s">
        <v>1090</v>
      </c>
      <c r="H202" s="9" t="str">
        <f>IF(E202="x","Economic - "&amp;G202,"Environmental - "&amp;G202)</f>
        <v>Environmental - Other</v>
      </c>
      <c r="I202" s="12" t="s">
        <v>560</v>
      </c>
      <c r="J202" s="9" t="s">
        <v>561</v>
      </c>
      <c r="K202" s="9" t="s">
        <v>10</v>
      </c>
      <c r="L202" s="9" t="s">
        <v>19</v>
      </c>
      <c r="M202" s="9" t="s">
        <v>468</v>
      </c>
      <c r="N202" s="9">
        <f>LEN(O202) - LEN(SUBSTITUTE(O202, ";", ""))+1</f>
        <v>1</v>
      </c>
      <c r="O202" s="9" t="s">
        <v>255</v>
      </c>
      <c r="P202" s="9" t="s">
        <v>39</v>
      </c>
      <c r="Q202" s="9" t="s">
        <v>2112</v>
      </c>
      <c r="R202" s="9" t="s">
        <v>17</v>
      </c>
      <c r="S202" s="9" t="s">
        <v>1830</v>
      </c>
      <c r="W202" s="23"/>
    </row>
    <row r="203" spans="1:23" ht="51.5" customHeight="1" x14ac:dyDescent="0.35">
      <c r="A203" s="9" t="s">
        <v>1604</v>
      </c>
      <c r="B203" s="9" t="s">
        <v>503</v>
      </c>
      <c r="C203" s="9" t="s">
        <v>547</v>
      </c>
      <c r="D203" s="9" t="str">
        <f>B203&amp;" - "&amp;C203</f>
        <v>Management processes - Regulatory compliance</v>
      </c>
      <c r="F203" s="9" t="s">
        <v>8</v>
      </c>
      <c r="G203" s="9" t="s">
        <v>1090</v>
      </c>
      <c r="H203" s="9" t="str">
        <f>IF(E203="x","Economic - "&amp;G203,"Environmental - "&amp;G203)</f>
        <v>Environmental - Other</v>
      </c>
      <c r="I203" s="12" t="s">
        <v>562</v>
      </c>
      <c r="J203" s="9" t="s">
        <v>1100</v>
      </c>
      <c r="K203" s="9" t="s">
        <v>10</v>
      </c>
      <c r="L203" s="9" t="s">
        <v>19</v>
      </c>
      <c r="M203" s="9" t="s">
        <v>468</v>
      </c>
      <c r="N203" s="9">
        <f>LEN(O203) - LEN(SUBSTITUTE(O203, ";", ""))+1</f>
        <v>3</v>
      </c>
      <c r="O203" s="9" t="s">
        <v>1925</v>
      </c>
      <c r="P203" s="9" t="s">
        <v>74</v>
      </c>
      <c r="Q203" s="9" t="s">
        <v>1299</v>
      </c>
      <c r="R203" s="9" t="s">
        <v>17</v>
      </c>
      <c r="S203" s="9" t="s">
        <v>1824</v>
      </c>
      <c r="W203" s="23"/>
    </row>
    <row r="204" spans="1:23" ht="51.5" customHeight="1" x14ac:dyDescent="0.35">
      <c r="A204" s="9" t="s">
        <v>1605</v>
      </c>
      <c r="B204" s="9" t="s">
        <v>503</v>
      </c>
      <c r="C204" s="9" t="s">
        <v>547</v>
      </c>
      <c r="D204" s="9" t="str">
        <f>B204&amp;" - "&amp;C204</f>
        <v>Management processes - Regulatory compliance</v>
      </c>
      <c r="E204" s="9" t="s">
        <v>8</v>
      </c>
      <c r="G204" s="9" t="s">
        <v>1086</v>
      </c>
      <c r="H204" s="9" t="str">
        <f>IF(E204="x","Economic - "&amp;G204,"Environmental - "&amp;G204)</f>
        <v>Economic - Cost</v>
      </c>
      <c r="I204" s="12" t="s">
        <v>563</v>
      </c>
      <c r="J204" s="9" t="s">
        <v>564</v>
      </c>
      <c r="K204" s="9" t="s">
        <v>10</v>
      </c>
      <c r="L204" s="9" t="s">
        <v>19</v>
      </c>
      <c r="M204" s="9" t="s">
        <v>468</v>
      </c>
      <c r="N204" s="9">
        <f>LEN(O204) - LEN(SUBSTITUTE(O204, ";", ""))+1</f>
        <v>3</v>
      </c>
      <c r="O204" s="9" t="s">
        <v>565</v>
      </c>
      <c r="P204" s="9" t="s">
        <v>39</v>
      </c>
      <c r="Q204" s="9" t="s">
        <v>2108</v>
      </c>
      <c r="R204" s="9" t="s">
        <v>17</v>
      </c>
      <c r="S204" s="9" t="s">
        <v>1830</v>
      </c>
      <c r="W204" s="23"/>
    </row>
    <row r="205" spans="1:23" ht="51.5" customHeight="1" x14ac:dyDescent="0.35">
      <c r="A205" s="9" t="s">
        <v>1606</v>
      </c>
      <c r="B205" s="9" t="s">
        <v>503</v>
      </c>
      <c r="C205" s="9" t="s">
        <v>547</v>
      </c>
      <c r="D205" s="9" t="str">
        <f>B205&amp;" - "&amp;C205</f>
        <v>Management processes - Regulatory compliance</v>
      </c>
      <c r="F205" s="9" t="s">
        <v>8</v>
      </c>
      <c r="G205" s="9" t="s">
        <v>1090</v>
      </c>
      <c r="H205" s="9" t="str">
        <f>IF(E205="x","Economic - "&amp;G205,"Environmental - "&amp;G205)</f>
        <v>Environmental - Other</v>
      </c>
      <c r="I205" s="12" t="s">
        <v>566</v>
      </c>
      <c r="J205" s="9" t="s">
        <v>1096</v>
      </c>
      <c r="K205" s="9" t="s">
        <v>10</v>
      </c>
      <c r="L205" s="9" t="s">
        <v>19</v>
      </c>
      <c r="M205" s="9" t="s">
        <v>468</v>
      </c>
      <c r="N205" s="9">
        <f>LEN(O205) - LEN(SUBSTITUTE(O205, ";", ""))+1</f>
        <v>5</v>
      </c>
      <c r="O205" s="9" t="s">
        <v>2086</v>
      </c>
      <c r="P205" s="9" t="s">
        <v>165</v>
      </c>
      <c r="Q205" s="9" t="s">
        <v>2121</v>
      </c>
      <c r="R205" s="9" t="s">
        <v>1328</v>
      </c>
      <c r="S205" s="9" t="s">
        <v>1826</v>
      </c>
      <c r="W205" s="23"/>
    </row>
    <row r="206" spans="1:23" ht="51.5" customHeight="1" x14ac:dyDescent="0.35">
      <c r="A206" s="9" t="s">
        <v>1607</v>
      </c>
      <c r="B206" s="9" t="s">
        <v>503</v>
      </c>
      <c r="C206" s="9" t="s">
        <v>547</v>
      </c>
      <c r="D206" s="9" t="str">
        <f>B206&amp;" - "&amp;C206</f>
        <v>Management processes - Regulatory compliance</v>
      </c>
      <c r="F206" s="9" t="s">
        <v>8</v>
      </c>
      <c r="G206" s="9" t="s">
        <v>1090</v>
      </c>
      <c r="H206" s="9" t="str">
        <f>IF(E206="x","Economic - "&amp;G206,"Environmental - "&amp;G206)</f>
        <v>Environmental - Other</v>
      </c>
      <c r="I206" s="12" t="s">
        <v>567</v>
      </c>
      <c r="J206" s="9" t="s">
        <v>568</v>
      </c>
      <c r="K206" s="9" t="s">
        <v>10</v>
      </c>
      <c r="L206" s="9" t="s">
        <v>1274</v>
      </c>
      <c r="M206" s="9" t="s">
        <v>468</v>
      </c>
      <c r="N206" s="9">
        <f>LEN(O206) - LEN(SUBSTITUTE(O206, ";", ""))+1</f>
        <v>1</v>
      </c>
      <c r="O206" s="9" t="s">
        <v>177</v>
      </c>
      <c r="P206" s="9" t="s">
        <v>74</v>
      </c>
      <c r="Q206" s="9" t="s">
        <v>17</v>
      </c>
      <c r="R206" s="9" t="s">
        <v>17</v>
      </c>
      <c r="S206" s="9" t="s">
        <v>17</v>
      </c>
      <c r="W206" s="23"/>
    </row>
    <row r="207" spans="1:23" ht="51.5" customHeight="1" x14ac:dyDescent="0.35">
      <c r="A207" s="9" t="s">
        <v>1608</v>
      </c>
      <c r="B207" s="9" t="s">
        <v>503</v>
      </c>
      <c r="C207" s="9" t="s">
        <v>547</v>
      </c>
      <c r="D207" s="9" t="str">
        <f>B207&amp;" - "&amp;C207</f>
        <v>Management processes - Regulatory compliance</v>
      </c>
      <c r="F207" s="9" t="s">
        <v>8</v>
      </c>
      <c r="G207" s="9" t="s">
        <v>1090</v>
      </c>
      <c r="H207" s="9" t="str">
        <f>IF(E207="x","Economic - "&amp;G207,"Environmental - "&amp;G207)</f>
        <v>Environmental - Other</v>
      </c>
      <c r="I207" s="12" t="s">
        <v>569</v>
      </c>
      <c r="J207" s="9" t="s">
        <v>570</v>
      </c>
      <c r="K207" s="9" t="s">
        <v>10</v>
      </c>
      <c r="L207" s="9" t="s">
        <v>1274</v>
      </c>
      <c r="M207" s="9" t="s">
        <v>468</v>
      </c>
      <c r="N207" s="9">
        <f>LEN(O207) - LEN(SUBSTITUTE(O207, ";", ""))+1</f>
        <v>1</v>
      </c>
      <c r="O207" s="9" t="s">
        <v>177</v>
      </c>
      <c r="P207" s="9" t="s">
        <v>74</v>
      </c>
      <c r="Q207" s="9" t="s">
        <v>17</v>
      </c>
      <c r="R207" s="9" t="s">
        <v>17</v>
      </c>
      <c r="S207" s="9" t="s">
        <v>17</v>
      </c>
      <c r="W207" s="23"/>
    </row>
    <row r="208" spans="1:23" ht="51.5" customHeight="1" x14ac:dyDescent="0.35">
      <c r="A208" s="9" t="s">
        <v>1609</v>
      </c>
      <c r="B208" s="9" t="s">
        <v>503</v>
      </c>
      <c r="C208" s="9" t="s">
        <v>547</v>
      </c>
      <c r="D208" s="9" t="str">
        <f>B208&amp;" - "&amp;C208</f>
        <v>Management processes - Regulatory compliance</v>
      </c>
      <c r="F208" s="9" t="s">
        <v>8</v>
      </c>
      <c r="G208" s="9" t="s">
        <v>1197</v>
      </c>
      <c r="H208" s="9" t="str">
        <f>IF(E208="x","Economic - "&amp;G208,"Environmental - "&amp;G208)</f>
        <v>Environmental - Resource Use &amp; Circular Economy</v>
      </c>
      <c r="I208" s="12" t="s">
        <v>571</v>
      </c>
      <c r="J208" s="9" t="s">
        <v>1176</v>
      </c>
      <c r="K208" s="9" t="s">
        <v>10</v>
      </c>
      <c r="L208" s="9" t="s">
        <v>57</v>
      </c>
      <c r="M208" s="9" t="s">
        <v>468</v>
      </c>
      <c r="N208" s="9">
        <f>LEN(O208) - LEN(SUBSTITUTE(O208, ";", ""))+1</f>
        <v>1</v>
      </c>
      <c r="O208" s="9" t="s">
        <v>389</v>
      </c>
      <c r="P208" s="9" t="s">
        <v>74</v>
      </c>
      <c r="Q208" s="9" t="s">
        <v>17</v>
      </c>
      <c r="R208" s="9" t="s">
        <v>17</v>
      </c>
      <c r="S208" s="9" t="s">
        <v>17</v>
      </c>
      <c r="W208" s="23"/>
    </row>
    <row r="209" spans="1:23" ht="51.5" customHeight="1" x14ac:dyDescent="0.35">
      <c r="A209" s="9" t="s">
        <v>1610</v>
      </c>
      <c r="B209" s="9" t="s">
        <v>503</v>
      </c>
      <c r="C209" s="9" t="s">
        <v>547</v>
      </c>
      <c r="D209" s="9" t="str">
        <f>B209&amp;" - "&amp;C209</f>
        <v>Management processes - Regulatory compliance</v>
      </c>
      <c r="F209" s="9" t="s">
        <v>8</v>
      </c>
      <c r="G209" s="9" t="s">
        <v>1090</v>
      </c>
      <c r="H209" s="9" t="str">
        <f>IF(E209="x","Economic - "&amp;G209,"Environmental - "&amp;G209)</f>
        <v>Environmental - Other</v>
      </c>
      <c r="I209" s="12" t="s">
        <v>572</v>
      </c>
      <c r="J209" s="9" t="s">
        <v>573</v>
      </c>
      <c r="K209" s="9" t="s">
        <v>10</v>
      </c>
      <c r="L209" s="9" t="s">
        <v>57</v>
      </c>
      <c r="M209" s="9" t="s">
        <v>468</v>
      </c>
      <c r="N209" s="9">
        <f>LEN(O209) - LEN(SUBSTITUTE(O209, ";", ""))+1</f>
        <v>1</v>
      </c>
      <c r="O209" s="9" t="s">
        <v>177</v>
      </c>
      <c r="P209" s="9" t="s">
        <v>74</v>
      </c>
      <c r="Q209" s="9" t="s">
        <v>17</v>
      </c>
      <c r="R209" s="9" t="s">
        <v>17</v>
      </c>
      <c r="S209" s="9" t="s">
        <v>17</v>
      </c>
      <c r="W209" s="23"/>
    </row>
    <row r="210" spans="1:23" ht="51.5" customHeight="1" x14ac:dyDescent="0.35">
      <c r="A210" s="9" t="s">
        <v>1611</v>
      </c>
      <c r="B210" s="9" t="s">
        <v>503</v>
      </c>
      <c r="C210" s="9" t="s">
        <v>547</v>
      </c>
      <c r="D210" s="9" t="str">
        <f>B210&amp;" - "&amp;C210</f>
        <v>Management processes - Regulatory compliance</v>
      </c>
      <c r="F210" s="9" t="s">
        <v>8</v>
      </c>
      <c r="G210" s="9" t="s">
        <v>1090</v>
      </c>
      <c r="H210" s="9" t="str">
        <f>IF(E210="x","Economic - "&amp;G210,"Environmental - "&amp;G210)</f>
        <v>Environmental - Other</v>
      </c>
      <c r="I210" s="12" t="s">
        <v>574</v>
      </c>
      <c r="J210" s="9" t="s">
        <v>575</v>
      </c>
      <c r="K210" s="9" t="s">
        <v>10</v>
      </c>
      <c r="L210" s="9" t="s">
        <v>16</v>
      </c>
      <c r="M210" s="9" t="s">
        <v>468</v>
      </c>
      <c r="N210" s="9">
        <f>LEN(O210) - LEN(SUBSTITUTE(O210, ";", ""))+1</f>
        <v>1</v>
      </c>
      <c r="O210" s="9" t="s">
        <v>177</v>
      </c>
      <c r="P210" s="9" t="s">
        <v>74</v>
      </c>
      <c r="Q210" s="9" t="s">
        <v>17</v>
      </c>
      <c r="R210" s="9" t="s">
        <v>17</v>
      </c>
      <c r="S210" s="9" t="s">
        <v>17</v>
      </c>
      <c r="W210" s="23"/>
    </row>
    <row r="211" spans="1:23" ht="51.5" customHeight="1" x14ac:dyDescent="0.35">
      <c r="A211" s="9" t="s">
        <v>1612</v>
      </c>
      <c r="B211" s="9" t="s">
        <v>503</v>
      </c>
      <c r="C211" s="9" t="s">
        <v>576</v>
      </c>
      <c r="D211" s="9" t="str">
        <f>B211&amp;" - "&amp;C211</f>
        <v>Management processes - Financial performance</v>
      </c>
      <c r="E211" s="9" t="s">
        <v>8</v>
      </c>
      <c r="G211" s="9" t="s">
        <v>1086</v>
      </c>
      <c r="H211" s="9" t="str">
        <f>IF(E211="x","Economic - "&amp;G211,"Environmental - "&amp;G211)</f>
        <v>Economic - Cost</v>
      </c>
      <c r="I211" s="12" t="s">
        <v>577</v>
      </c>
      <c r="J211" s="9" t="s">
        <v>578</v>
      </c>
      <c r="K211" s="9" t="s">
        <v>10</v>
      </c>
      <c r="L211" s="9" t="s">
        <v>19</v>
      </c>
      <c r="M211" s="9" t="s">
        <v>468</v>
      </c>
      <c r="N211" s="9">
        <f>LEN(O211) - LEN(SUBSTITUTE(O211, ";", ""))+1</f>
        <v>5</v>
      </c>
      <c r="O211" s="9" t="s">
        <v>2087</v>
      </c>
      <c r="P211" s="9" t="s">
        <v>13</v>
      </c>
      <c r="Q211" s="9" t="s">
        <v>1336</v>
      </c>
      <c r="R211" s="9" t="s">
        <v>1337</v>
      </c>
      <c r="S211" s="9" t="s">
        <v>1826</v>
      </c>
      <c r="W211" s="23"/>
    </row>
    <row r="212" spans="1:23" ht="51.5" customHeight="1" x14ac:dyDescent="0.35">
      <c r="A212" s="9" t="s">
        <v>1613</v>
      </c>
      <c r="B212" s="9" t="s">
        <v>503</v>
      </c>
      <c r="C212" s="9" t="s">
        <v>576</v>
      </c>
      <c r="D212" s="9" t="str">
        <f>B212&amp;" - "&amp;C212</f>
        <v>Management processes - Financial performance</v>
      </c>
      <c r="E212" s="9" t="s">
        <v>8</v>
      </c>
      <c r="G212" s="9" t="s">
        <v>1086</v>
      </c>
      <c r="H212" s="9" t="str">
        <f>IF(E212="x","Economic - "&amp;G212,"Environmental - "&amp;G212)</f>
        <v>Economic - Cost</v>
      </c>
      <c r="I212" s="12" t="s">
        <v>579</v>
      </c>
      <c r="J212" s="9" t="s">
        <v>580</v>
      </c>
      <c r="K212" s="9" t="s">
        <v>10</v>
      </c>
      <c r="L212" s="9" t="s">
        <v>16</v>
      </c>
      <c r="M212" s="9" t="s">
        <v>468</v>
      </c>
      <c r="N212" s="9">
        <f>LEN(O212) - LEN(SUBSTITUTE(O212, ";", ""))+1</f>
        <v>1</v>
      </c>
      <c r="O212" s="9" t="s">
        <v>581</v>
      </c>
      <c r="P212" s="9" t="s">
        <v>39</v>
      </c>
      <c r="Q212" s="9" t="s">
        <v>1338</v>
      </c>
      <c r="R212" s="9" t="s">
        <v>17</v>
      </c>
      <c r="S212" s="9" t="s">
        <v>17</v>
      </c>
      <c r="W212" s="23"/>
    </row>
    <row r="213" spans="1:23" ht="51.5" customHeight="1" x14ac:dyDescent="0.35">
      <c r="A213" s="9" t="s">
        <v>1614</v>
      </c>
      <c r="B213" s="9" t="s">
        <v>503</v>
      </c>
      <c r="C213" s="9" t="s">
        <v>576</v>
      </c>
      <c r="D213" s="9" t="str">
        <f>B213&amp;" - "&amp;C213</f>
        <v>Management processes - Financial performance</v>
      </c>
      <c r="E213" s="9" t="s">
        <v>8</v>
      </c>
      <c r="G213" s="9" t="s">
        <v>1086</v>
      </c>
      <c r="H213" s="9" t="str">
        <f>IF(E213="x","Economic - "&amp;G213,"Environmental - "&amp;G213)</f>
        <v>Economic - Cost</v>
      </c>
      <c r="I213" s="12" t="s">
        <v>582</v>
      </c>
      <c r="J213" s="9" t="s">
        <v>1177</v>
      </c>
      <c r="K213" s="9" t="s">
        <v>10</v>
      </c>
      <c r="L213" s="9" t="s">
        <v>19</v>
      </c>
      <c r="M213" s="9" t="s">
        <v>468</v>
      </c>
      <c r="N213" s="9">
        <f>LEN(O213) - LEN(SUBSTITUTE(O213, ";", ""))+1</f>
        <v>1</v>
      </c>
      <c r="O213" s="9" t="s">
        <v>276</v>
      </c>
      <c r="P213" s="9" t="s">
        <v>74</v>
      </c>
      <c r="Q213" s="9" t="s">
        <v>277</v>
      </c>
      <c r="R213" s="9" t="s">
        <v>17</v>
      </c>
      <c r="S213" s="9" t="s">
        <v>17</v>
      </c>
      <c r="W213" s="23"/>
    </row>
    <row r="214" spans="1:23" ht="51.5" customHeight="1" x14ac:dyDescent="0.35">
      <c r="A214" s="9" t="s">
        <v>1615</v>
      </c>
      <c r="B214" s="9" t="s">
        <v>503</v>
      </c>
      <c r="C214" s="9" t="s">
        <v>576</v>
      </c>
      <c r="D214" s="9" t="str">
        <f>B214&amp;" - "&amp;C214</f>
        <v>Management processes - Financial performance</v>
      </c>
      <c r="E214" s="9" t="s">
        <v>8</v>
      </c>
      <c r="G214" s="9" t="s">
        <v>1086</v>
      </c>
      <c r="H214" s="9" t="str">
        <f>IF(E214="x","Economic - "&amp;G214,"Environmental - "&amp;G214)</f>
        <v>Economic - Cost</v>
      </c>
      <c r="I214" s="12" t="s">
        <v>1080</v>
      </c>
      <c r="J214" s="9" t="s">
        <v>1941</v>
      </c>
      <c r="K214" s="9" t="s">
        <v>10</v>
      </c>
      <c r="L214" s="9" t="s">
        <v>19</v>
      </c>
      <c r="M214" s="9" t="s">
        <v>468</v>
      </c>
      <c r="N214" s="9">
        <f>LEN(O214) - LEN(SUBSTITUTE(O214, ";", ""))+1</f>
        <v>3</v>
      </c>
      <c r="O214" s="9" t="s">
        <v>1940</v>
      </c>
      <c r="P214" s="9" t="s">
        <v>590</v>
      </c>
      <c r="Q214" s="9" t="s">
        <v>2122</v>
      </c>
      <c r="R214" s="9" t="s">
        <v>1316</v>
      </c>
      <c r="S214" s="9" t="s">
        <v>1820</v>
      </c>
      <c r="W214" s="23"/>
    </row>
    <row r="215" spans="1:23" ht="51.5" customHeight="1" x14ac:dyDescent="0.35">
      <c r="A215" s="9" t="s">
        <v>1616</v>
      </c>
      <c r="B215" s="9" t="s">
        <v>503</v>
      </c>
      <c r="C215" s="9" t="s">
        <v>576</v>
      </c>
      <c r="D215" s="9" t="str">
        <f>B215&amp;" - "&amp;C215</f>
        <v>Management processes - Financial performance</v>
      </c>
      <c r="E215" s="9" t="s">
        <v>8</v>
      </c>
      <c r="G215" s="9" t="s">
        <v>1086</v>
      </c>
      <c r="H215" s="9" t="str">
        <f>IF(E215="x","Economic - "&amp;G215,"Environmental - "&amp;G215)</f>
        <v>Economic - Cost</v>
      </c>
      <c r="I215" s="12" t="s">
        <v>585</v>
      </c>
      <c r="J215" s="9" t="s">
        <v>1093</v>
      </c>
      <c r="K215" s="9" t="s">
        <v>10</v>
      </c>
      <c r="L215" s="9" t="s">
        <v>19</v>
      </c>
      <c r="M215" s="9" t="s">
        <v>468</v>
      </c>
      <c r="N215" s="9">
        <f>LEN(O215) - LEN(SUBSTITUTE(O215, ";", ""))+1</f>
        <v>13</v>
      </c>
      <c r="O215" s="9" t="s">
        <v>1363</v>
      </c>
      <c r="P215" s="9" t="s">
        <v>13</v>
      </c>
      <c r="Q215" s="9" t="s">
        <v>2123</v>
      </c>
      <c r="R215" s="9" t="s">
        <v>1289</v>
      </c>
      <c r="S215" s="9" t="s">
        <v>1823</v>
      </c>
      <c r="W215" s="23"/>
    </row>
    <row r="216" spans="1:23" ht="51.5" customHeight="1" x14ac:dyDescent="0.35">
      <c r="A216" s="9" t="s">
        <v>1617</v>
      </c>
      <c r="B216" s="9" t="s">
        <v>503</v>
      </c>
      <c r="C216" s="9" t="s">
        <v>576</v>
      </c>
      <c r="D216" s="9" t="str">
        <f>B216&amp;" - "&amp;C216</f>
        <v>Management processes - Financial performance</v>
      </c>
      <c r="E216" s="9" t="s">
        <v>8</v>
      </c>
      <c r="G216" s="9" t="s">
        <v>1086</v>
      </c>
      <c r="H216" s="9" t="str">
        <f>IF(E216="x","Economic - "&amp;G216,"Environmental - "&amp;G216)</f>
        <v>Economic - Cost</v>
      </c>
      <c r="I216" s="12" t="s">
        <v>586</v>
      </c>
      <c r="J216" s="9" t="s">
        <v>587</v>
      </c>
      <c r="K216" s="9" t="s">
        <v>10</v>
      </c>
      <c r="L216" s="9" t="s">
        <v>19</v>
      </c>
      <c r="M216" s="9" t="s">
        <v>468</v>
      </c>
      <c r="N216" s="9">
        <f>LEN(O216) - LEN(SUBSTITUTE(O216, ";", ""))+1</f>
        <v>2</v>
      </c>
      <c r="O216" s="9" t="s">
        <v>365</v>
      </c>
      <c r="P216" s="9" t="s">
        <v>39</v>
      </c>
      <c r="Q216" s="9" t="s">
        <v>2124</v>
      </c>
      <c r="R216" s="9" t="s">
        <v>17</v>
      </c>
      <c r="S216" s="9" t="s">
        <v>1826</v>
      </c>
      <c r="W216" s="23"/>
    </row>
    <row r="217" spans="1:23" ht="51.5" customHeight="1" x14ac:dyDescent="0.35">
      <c r="A217" s="9" t="s">
        <v>2064</v>
      </c>
      <c r="B217" s="9" t="s">
        <v>503</v>
      </c>
      <c r="C217" s="9" t="s">
        <v>576</v>
      </c>
      <c r="D217" s="9" t="str">
        <f>B217&amp;" - "&amp;C217</f>
        <v>Management processes - Financial performance</v>
      </c>
      <c r="E217" s="9" t="s">
        <v>8</v>
      </c>
      <c r="G217" s="9" t="s">
        <v>1086</v>
      </c>
      <c r="H217" s="9" t="str">
        <f>IF(E217="x","Economic - "&amp;G217,"Environmental - "&amp;G217)</f>
        <v>Economic - Cost</v>
      </c>
      <c r="I217" s="12" t="s">
        <v>588</v>
      </c>
      <c r="J217" s="9" t="s">
        <v>1099</v>
      </c>
      <c r="K217" s="9" t="s">
        <v>10</v>
      </c>
      <c r="L217" s="9" t="s">
        <v>1263</v>
      </c>
      <c r="M217" s="9" t="s">
        <v>468</v>
      </c>
      <c r="N217" s="9">
        <f>LEN(O217) - LEN(SUBSTITUTE(O217, ";", ""))+1</f>
        <v>4</v>
      </c>
      <c r="O217" s="9" t="s">
        <v>589</v>
      </c>
      <c r="P217" s="9" t="s">
        <v>65</v>
      </c>
      <c r="Q217" s="9" t="s">
        <v>2125</v>
      </c>
      <c r="R217" s="9" t="s">
        <v>1316</v>
      </c>
      <c r="S217" s="9" t="s">
        <v>1823</v>
      </c>
      <c r="W217" s="23"/>
    </row>
    <row r="218" spans="1:23" ht="51.5" customHeight="1" x14ac:dyDescent="0.35">
      <c r="A218" s="9" t="s">
        <v>1618</v>
      </c>
      <c r="B218" s="9" t="s">
        <v>503</v>
      </c>
      <c r="C218" s="9" t="s">
        <v>576</v>
      </c>
      <c r="D218" s="9" t="str">
        <f>B218&amp;" - "&amp;C218</f>
        <v>Management processes - Financial performance</v>
      </c>
      <c r="E218" s="9" t="s">
        <v>8</v>
      </c>
      <c r="G218" s="9" t="s">
        <v>1086</v>
      </c>
      <c r="H218" s="9" t="str">
        <f>IF(E218="x","Economic - "&amp;G218,"Environmental - "&amp;G218)</f>
        <v>Economic - Cost</v>
      </c>
      <c r="I218" s="12" t="s">
        <v>591</v>
      </c>
      <c r="J218" s="9" t="s">
        <v>1178</v>
      </c>
      <c r="K218" s="9" t="s">
        <v>10</v>
      </c>
      <c r="L218" s="9" t="s">
        <v>19</v>
      </c>
      <c r="M218" s="9" t="s">
        <v>468</v>
      </c>
      <c r="N218" s="9">
        <f>LEN(O218) - LEN(SUBSTITUTE(O218, ";", ""))+1</f>
        <v>1</v>
      </c>
      <c r="O218" s="9" t="s">
        <v>276</v>
      </c>
      <c r="P218" s="9" t="s">
        <v>74</v>
      </c>
      <c r="Q218" s="9" t="s">
        <v>277</v>
      </c>
      <c r="R218" s="9" t="s">
        <v>17</v>
      </c>
      <c r="S218" s="9" t="s">
        <v>17</v>
      </c>
      <c r="W218" s="23"/>
    </row>
    <row r="219" spans="1:23" ht="51.5" customHeight="1" x14ac:dyDescent="0.35">
      <c r="A219" s="9" t="s">
        <v>1619</v>
      </c>
      <c r="B219" s="9" t="s">
        <v>503</v>
      </c>
      <c r="C219" s="9" t="s">
        <v>576</v>
      </c>
      <c r="D219" s="9" t="str">
        <f>B219&amp;" - "&amp;C219</f>
        <v>Management processes - Financial performance</v>
      </c>
      <c r="E219" s="9" t="s">
        <v>8</v>
      </c>
      <c r="G219" s="9" t="s">
        <v>1086</v>
      </c>
      <c r="H219" s="9" t="str">
        <f>IF(E219="x","Economic - "&amp;G219,"Environmental - "&amp;G219)</f>
        <v>Economic - Cost</v>
      </c>
      <c r="I219" s="12" t="s">
        <v>592</v>
      </c>
      <c r="J219" s="9" t="s">
        <v>1179</v>
      </c>
      <c r="K219" s="9" t="s">
        <v>10</v>
      </c>
      <c r="L219" s="9" t="s">
        <v>19</v>
      </c>
      <c r="M219" s="9" t="s">
        <v>468</v>
      </c>
      <c r="N219" s="9">
        <f>LEN(O219) - LEN(SUBSTITUTE(O219, ";", ""))+1</f>
        <v>1</v>
      </c>
      <c r="O219" s="9" t="s">
        <v>276</v>
      </c>
      <c r="P219" s="9" t="s">
        <v>74</v>
      </c>
      <c r="Q219" s="9" t="s">
        <v>277</v>
      </c>
      <c r="R219" s="9" t="s">
        <v>17</v>
      </c>
      <c r="S219" s="9" t="s">
        <v>17</v>
      </c>
      <c r="W219" s="23"/>
    </row>
    <row r="220" spans="1:23" ht="51.5" customHeight="1" x14ac:dyDescent="0.35">
      <c r="A220" s="9" t="s">
        <v>1620</v>
      </c>
      <c r="B220" s="9" t="s">
        <v>503</v>
      </c>
      <c r="C220" s="9" t="s">
        <v>576</v>
      </c>
      <c r="D220" s="9" t="str">
        <f>B220&amp;" - "&amp;C220</f>
        <v>Management processes - Financial performance</v>
      </c>
      <c r="E220" s="9" t="s">
        <v>8</v>
      </c>
      <c r="G220" s="9" t="s">
        <v>603</v>
      </c>
      <c r="H220" s="9" t="str">
        <f>IF(E220="x","Economic - "&amp;G220,"Environmental - "&amp;G220)</f>
        <v>Economic - Profit</v>
      </c>
      <c r="I220" s="12" t="s">
        <v>595</v>
      </c>
      <c r="J220" s="9" t="s">
        <v>1139</v>
      </c>
      <c r="K220" s="9" t="s">
        <v>10</v>
      </c>
      <c r="L220" s="9" t="s">
        <v>16</v>
      </c>
      <c r="M220" s="9" t="s">
        <v>468</v>
      </c>
      <c r="N220" s="9">
        <f>LEN(O220) - LEN(SUBSTITUTE(O220, ";", ""))+1</f>
        <v>2</v>
      </c>
      <c r="O220" s="9" t="s">
        <v>596</v>
      </c>
      <c r="P220" s="9" t="s">
        <v>39</v>
      </c>
      <c r="Q220" s="9" t="s">
        <v>597</v>
      </c>
      <c r="R220" s="9" t="s">
        <v>17</v>
      </c>
      <c r="S220" s="9" t="s">
        <v>1824</v>
      </c>
      <c r="W220" s="23"/>
    </row>
    <row r="221" spans="1:23" ht="51.5" customHeight="1" x14ac:dyDescent="0.35">
      <c r="A221" s="9" t="s">
        <v>1621</v>
      </c>
      <c r="B221" s="9" t="s">
        <v>503</v>
      </c>
      <c r="C221" s="9" t="s">
        <v>576</v>
      </c>
      <c r="D221" s="9" t="str">
        <f>B221&amp;" - "&amp;C221</f>
        <v>Management processes - Financial performance</v>
      </c>
      <c r="E221" s="9" t="s">
        <v>8</v>
      </c>
      <c r="G221" s="9" t="s">
        <v>603</v>
      </c>
      <c r="H221" s="9" t="str">
        <f>IF(E221="x","Economic - "&amp;G221,"Environmental - "&amp;G221)</f>
        <v>Economic - Profit</v>
      </c>
      <c r="I221" s="12" t="s">
        <v>593</v>
      </c>
      <c r="J221" s="9" t="s">
        <v>594</v>
      </c>
      <c r="K221" s="9" t="s">
        <v>10</v>
      </c>
      <c r="L221" s="9" t="s">
        <v>19</v>
      </c>
      <c r="M221" s="9" t="s">
        <v>468</v>
      </c>
      <c r="N221" s="9">
        <f>LEN(O221) - LEN(SUBSTITUTE(O221, ";", ""))+1</f>
        <v>14</v>
      </c>
      <c r="O221" s="9" t="s">
        <v>2005</v>
      </c>
      <c r="P221" s="9" t="s">
        <v>229</v>
      </c>
      <c r="Q221" s="9" t="s">
        <v>2120</v>
      </c>
      <c r="R221" s="9" t="s">
        <v>1284</v>
      </c>
      <c r="S221" s="9" t="s">
        <v>1823</v>
      </c>
      <c r="W221" s="23"/>
    </row>
    <row r="222" spans="1:23" ht="51.5" customHeight="1" x14ac:dyDescent="0.35">
      <c r="A222" s="9" t="s">
        <v>1622</v>
      </c>
      <c r="B222" s="9" t="s">
        <v>503</v>
      </c>
      <c r="C222" s="9" t="s">
        <v>576</v>
      </c>
      <c r="D222" s="9" t="str">
        <f>B222&amp;" - "&amp;C222</f>
        <v>Management processes - Financial performance</v>
      </c>
      <c r="E222" s="9" t="s">
        <v>8</v>
      </c>
      <c r="G222" s="9" t="s">
        <v>603</v>
      </c>
      <c r="H222" s="9" t="str">
        <f>IF(E222="x","Economic - "&amp;G222,"Environmental - "&amp;G222)</f>
        <v>Economic - Profit</v>
      </c>
      <c r="I222" s="12" t="s">
        <v>598</v>
      </c>
      <c r="J222" s="9" t="s">
        <v>599</v>
      </c>
      <c r="K222" s="9" t="s">
        <v>10</v>
      </c>
      <c r="L222" s="9" t="s">
        <v>16</v>
      </c>
      <c r="M222" s="9" t="s">
        <v>468</v>
      </c>
      <c r="N222" s="9">
        <f>LEN(O222) - LEN(SUBSTITUTE(O222, ";", ""))+1</f>
        <v>4</v>
      </c>
      <c r="O222" s="9" t="s">
        <v>600</v>
      </c>
      <c r="P222" s="9" t="s">
        <v>39</v>
      </c>
      <c r="Q222" s="9" t="s">
        <v>2126</v>
      </c>
      <c r="R222" s="9" t="s">
        <v>17</v>
      </c>
      <c r="S222" s="9" t="s">
        <v>1826</v>
      </c>
      <c r="W222" s="23"/>
    </row>
    <row r="223" spans="1:23" ht="51.5" customHeight="1" x14ac:dyDescent="0.35">
      <c r="A223" s="9" t="s">
        <v>1623</v>
      </c>
      <c r="B223" s="9" t="s">
        <v>503</v>
      </c>
      <c r="C223" s="9" t="s">
        <v>576</v>
      </c>
      <c r="D223" s="9" t="str">
        <f>B223&amp;" - "&amp;C223</f>
        <v>Management processes - Financial performance</v>
      </c>
      <c r="E223" s="9" t="s">
        <v>8</v>
      </c>
      <c r="G223" s="9" t="s">
        <v>603</v>
      </c>
      <c r="H223" s="9" t="str">
        <f>IF(E223="x","Economic - "&amp;G223,"Environmental - "&amp;G223)</f>
        <v>Economic - Profit</v>
      </c>
      <c r="I223" s="12" t="s">
        <v>601</v>
      </c>
      <c r="J223" s="9" t="s">
        <v>602</v>
      </c>
      <c r="K223" s="9" t="s">
        <v>10</v>
      </c>
      <c r="L223" s="9" t="s">
        <v>16</v>
      </c>
      <c r="M223" s="9" t="s">
        <v>468</v>
      </c>
      <c r="N223" s="9">
        <f>LEN(O223) - LEN(SUBSTITUTE(O223, ";", ""))+1</f>
        <v>1</v>
      </c>
      <c r="O223" s="9" t="s">
        <v>581</v>
      </c>
      <c r="P223" s="9" t="s">
        <v>39</v>
      </c>
      <c r="Q223" s="9" t="s">
        <v>1338</v>
      </c>
      <c r="R223" s="9" t="s">
        <v>17</v>
      </c>
      <c r="S223" s="9" t="s">
        <v>17</v>
      </c>
      <c r="W223" s="23"/>
    </row>
    <row r="224" spans="1:23" ht="51.5" customHeight="1" x14ac:dyDescent="0.35">
      <c r="A224" s="9" t="s">
        <v>1624</v>
      </c>
      <c r="B224" s="9" t="s">
        <v>503</v>
      </c>
      <c r="C224" s="9" t="s">
        <v>576</v>
      </c>
      <c r="D224" s="9" t="str">
        <f>B224&amp;" - "&amp;C224</f>
        <v>Management processes - Financial performance</v>
      </c>
      <c r="E224" s="9" t="s">
        <v>8</v>
      </c>
      <c r="G224" s="9" t="s">
        <v>603</v>
      </c>
      <c r="H224" s="9" t="str">
        <f>IF(E224="x","Economic - "&amp;G224,"Environmental - "&amp;G224)</f>
        <v>Economic - Profit</v>
      </c>
      <c r="I224" s="12" t="s">
        <v>603</v>
      </c>
      <c r="J224" s="9" t="s">
        <v>604</v>
      </c>
      <c r="K224" s="9" t="s">
        <v>10</v>
      </c>
      <c r="L224" s="9" t="s">
        <v>19</v>
      </c>
      <c r="M224" s="9" t="s">
        <v>468</v>
      </c>
      <c r="N224" s="9">
        <f>LEN(O224) - LEN(SUBSTITUTE(O224, ";", ""))+1</f>
        <v>10</v>
      </c>
      <c r="O224" s="9" t="s">
        <v>2004</v>
      </c>
      <c r="P224" s="9" t="s">
        <v>65</v>
      </c>
      <c r="Q224" s="9" t="s">
        <v>2127</v>
      </c>
      <c r="R224" s="9" t="s">
        <v>17</v>
      </c>
      <c r="S224" s="9" t="s">
        <v>1826</v>
      </c>
      <c r="W224" s="23"/>
    </row>
    <row r="225" spans="1:23" ht="51.5" customHeight="1" x14ac:dyDescent="0.35">
      <c r="A225" s="9" t="s">
        <v>1625</v>
      </c>
      <c r="B225" s="9" t="s">
        <v>503</v>
      </c>
      <c r="C225" s="9" t="s">
        <v>576</v>
      </c>
      <c r="D225" s="9" t="str">
        <f>B225&amp;" - "&amp;C225</f>
        <v>Management processes - Financial performance</v>
      </c>
      <c r="E225" s="9" t="s">
        <v>8</v>
      </c>
      <c r="G225" s="9" t="s">
        <v>603</v>
      </c>
      <c r="H225" s="9" t="str">
        <f>IF(E225="x","Economic - "&amp;G225,"Environmental - "&amp;G225)</f>
        <v>Economic - Profit</v>
      </c>
      <c r="I225" s="12" t="s">
        <v>605</v>
      </c>
      <c r="J225" s="9" t="s">
        <v>606</v>
      </c>
      <c r="K225" s="9" t="s">
        <v>10</v>
      </c>
      <c r="L225" s="9" t="s">
        <v>19</v>
      </c>
      <c r="M225" s="9" t="s">
        <v>468</v>
      </c>
      <c r="N225" s="9">
        <f>LEN(O225) - LEN(SUBSTITUTE(O225, ";", ""))+1</f>
        <v>3</v>
      </c>
      <c r="O225" s="9" t="s">
        <v>607</v>
      </c>
      <c r="P225" s="9" t="s">
        <v>74</v>
      </c>
      <c r="Q225" s="9" t="s">
        <v>608</v>
      </c>
      <c r="R225" s="9" t="s">
        <v>1334</v>
      </c>
      <c r="S225" s="9" t="s">
        <v>1822</v>
      </c>
      <c r="W225" s="23"/>
    </row>
    <row r="226" spans="1:23" ht="51.5" customHeight="1" x14ac:dyDescent="0.35">
      <c r="A226" s="9" t="s">
        <v>1626</v>
      </c>
      <c r="B226" s="9" t="s">
        <v>503</v>
      </c>
      <c r="C226" s="9" t="s">
        <v>576</v>
      </c>
      <c r="D226" s="9" t="str">
        <f>B226&amp;" - "&amp;C226</f>
        <v>Management processes - Financial performance</v>
      </c>
      <c r="E226" s="9" t="s">
        <v>8</v>
      </c>
      <c r="G226" s="9" t="s">
        <v>603</v>
      </c>
      <c r="H226" s="9" t="str">
        <f>IF(E226="x","Economic - "&amp;G226,"Environmental - "&amp;G226)</f>
        <v>Economic - Profit</v>
      </c>
      <c r="I226" s="12" t="s">
        <v>609</v>
      </c>
      <c r="J226" s="9" t="s">
        <v>610</v>
      </c>
      <c r="K226" s="9" t="s">
        <v>10</v>
      </c>
      <c r="L226" s="9" t="s">
        <v>19</v>
      </c>
      <c r="M226" s="9" t="s">
        <v>468</v>
      </c>
      <c r="N226" s="9">
        <f>LEN(O226) - LEN(SUBSTITUTE(O226, ";", ""))+1</f>
        <v>3</v>
      </c>
      <c r="O226" s="9" t="s">
        <v>607</v>
      </c>
      <c r="P226" s="9" t="s">
        <v>74</v>
      </c>
      <c r="Q226" s="9" t="s">
        <v>608</v>
      </c>
      <c r="R226" s="9" t="s">
        <v>1334</v>
      </c>
      <c r="S226" s="9" t="s">
        <v>1822</v>
      </c>
      <c r="W226" s="23"/>
    </row>
    <row r="227" spans="1:23" ht="51.5" customHeight="1" x14ac:dyDescent="0.35">
      <c r="A227" s="9" t="s">
        <v>1627</v>
      </c>
      <c r="B227" s="9" t="s">
        <v>503</v>
      </c>
      <c r="C227" s="9" t="s">
        <v>576</v>
      </c>
      <c r="D227" s="9" t="str">
        <f>B227&amp;" - "&amp;C227</f>
        <v>Management processes - Financial performance</v>
      </c>
      <c r="E227" s="9" t="s">
        <v>8</v>
      </c>
      <c r="G227" s="9" t="s">
        <v>603</v>
      </c>
      <c r="H227" s="9" t="str">
        <f>IF(E227="x","Economic - "&amp;G227,"Environmental - "&amp;G227)</f>
        <v>Economic - Profit</v>
      </c>
      <c r="I227" s="12" t="s">
        <v>611</v>
      </c>
      <c r="J227" s="9" t="s">
        <v>612</v>
      </c>
      <c r="K227" s="9" t="s">
        <v>10</v>
      </c>
      <c r="L227" s="9" t="s">
        <v>16</v>
      </c>
      <c r="M227" s="9" t="s">
        <v>468</v>
      </c>
      <c r="N227" s="9">
        <f>LEN(O227) - LEN(SUBSTITUTE(O227, ";", ""))+1</f>
        <v>3</v>
      </c>
      <c r="O227" s="9" t="s">
        <v>1360</v>
      </c>
      <c r="P227" s="9" t="s">
        <v>74</v>
      </c>
      <c r="Q227" s="9" t="s">
        <v>1321</v>
      </c>
      <c r="R227" s="9" t="s">
        <v>17</v>
      </c>
      <c r="S227" s="9" t="s">
        <v>1830</v>
      </c>
      <c r="W227" s="23"/>
    </row>
    <row r="228" spans="1:23" ht="51.5" customHeight="1" x14ac:dyDescent="0.35">
      <c r="A228" s="9" t="s">
        <v>1628</v>
      </c>
      <c r="B228" s="9" t="s">
        <v>503</v>
      </c>
      <c r="C228" s="9" t="s">
        <v>576</v>
      </c>
      <c r="D228" s="9" t="str">
        <f>B228&amp;" - "&amp;C228</f>
        <v>Management processes - Financial performance</v>
      </c>
      <c r="E228" s="9" t="s">
        <v>8</v>
      </c>
      <c r="G228" s="9" t="s">
        <v>603</v>
      </c>
      <c r="H228" s="9" t="str">
        <f>IF(E228="x","Economic - "&amp;G228,"Environmental - "&amp;G228)</f>
        <v>Economic - Profit</v>
      </c>
      <c r="I228" s="12" t="s">
        <v>616</v>
      </c>
      <c r="J228" s="9" t="s">
        <v>1180</v>
      </c>
      <c r="K228" s="9" t="s">
        <v>10</v>
      </c>
      <c r="L228" s="9" t="s">
        <v>16</v>
      </c>
      <c r="M228" s="9" t="s">
        <v>468</v>
      </c>
      <c r="N228" s="9">
        <f>LEN(O228) - LEN(SUBSTITUTE(O228, ";", ""))+1</f>
        <v>1</v>
      </c>
      <c r="O228" s="9" t="s">
        <v>1059</v>
      </c>
      <c r="P228" s="9" t="s">
        <v>39</v>
      </c>
      <c r="Q228" s="9" t="s">
        <v>98</v>
      </c>
      <c r="R228" s="9" t="s">
        <v>17</v>
      </c>
      <c r="S228" s="9" t="s">
        <v>1828</v>
      </c>
      <c r="W228" s="23"/>
    </row>
    <row r="229" spans="1:23" ht="51.5" customHeight="1" x14ac:dyDescent="0.35">
      <c r="A229" s="9" t="s">
        <v>1629</v>
      </c>
      <c r="B229" s="9" t="s">
        <v>503</v>
      </c>
      <c r="C229" s="9" t="s">
        <v>576</v>
      </c>
      <c r="D229" s="9" t="str">
        <f>B229&amp;" - "&amp;C229</f>
        <v>Management processes - Financial performance</v>
      </c>
      <c r="E229" s="9" t="s">
        <v>8</v>
      </c>
      <c r="G229" s="9" t="s">
        <v>603</v>
      </c>
      <c r="H229" s="9" t="str">
        <f>IF(E229="x","Economic - "&amp;G229,"Environmental - "&amp;G229)</f>
        <v>Economic - Profit</v>
      </c>
      <c r="I229" s="12" t="s">
        <v>613</v>
      </c>
      <c r="J229" s="9" t="s">
        <v>614</v>
      </c>
      <c r="K229" s="9" t="s">
        <v>10</v>
      </c>
      <c r="L229" s="9" t="s">
        <v>19</v>
      </c>
      <c r="M229" s="9" t="s">
        <v>468</v>
      </c>
      <c r="N229" s="9">
        <f>LEN(O229) - LEN(SUBSTITUTE(O229, ";", ""))+1</f>
        <v>1</v>
      </c>
      <c r="O229" s="9" t="s">
        <v>615</v>
      </c>
      <c r="P229" s="9" t="s">
        <v>39</v>
      </c>
      <c r="Q229" s="9" t="s">
        <v>17</v>
      </c>
      <c r="R229" s="9" t="s">
        <v>17</v>
      </c>
      <c r="S229" s="9" t="s">
        <v>17</v>
      </c>
      <c r="W229" s="23"/>
    </row>
    <row r="230" spans="1:23" ht="51.5" customHeight="1" x14ac:dyDescent="0.35">
      <c r="A230" s="9" t="s">
        <v>1630</v>
      </c>
      <c r="B230" s="9" t="s">
        <v>503</v>
      </c>
      <c r="C230" s="9" t="s">
        <v>576</v>
      </c>
      <c r="D230" s="9" t="str">
        <f>B230&amp;" - "&amp;C230</f>
        <v>Management processes - Financial performance</v>
      </c>
      <c r="E230" s="9" t="s">
        <v>8</v>
      </c>
      <c r="G230" s="9" t="s">
        <v>603</v>
      </c>
      <c r="H230" s="9" t="str">
        <f>IF(E230="x","Economic - "&amp;G230,"Environmental - "&amp;G230)</f>
        <v>Economic - Profit</v>
      </c>
      <c r="I230" s="12" t="s">
        <v>617</v>
      </c>
      <c r="J230" s="9" t="s">
        <v>618</v>
      </c>
      <c r="K230" s="9" t="s">
        <v>10</v>
      </c>
      <c r="L230" s="9" t="s">
        <v>19</v>
      </c>
      <c r="M230" s="9" t="s">
        <v>468</v>
      </c>
      <c r="N230" s="9">
        <f>LEN(O230) - LEN(SUBSTITUTE(O230, ";", ""))+1</f>
        <v>3</v>
      </c>
      <c r="O230" s="9" t="s">
        <v>619</v>
      </c>
      <c r="P230" s="9" t="s">
        <v>39</v>
      </c>
      <c r="Q230" s="9" t="s">
        <v>1339</v>
      </c>
      <c r="R230" s="9" t="s">
        <v>17</v>
      </c>
      <c r="S230" s="9" t="s">
        <v>1824</v>
      </c>
      <c r="W230" s="23"/>
    </row>
    <row r="231" spans="1:23" ht="51.5" customHeight="1" x14ac:dyDescent="0.35">
      <c r="A231" s="9" t="s">
        <v>1631</v>
      </c>
      <c r="B231" s="9" t="s">
        <v>503</v>
      </c>
      <c r="C231" s="9" t="s">
        <v>576</v>
      </c>
      <c r="D231" s="9" t="str">
        <f>B231&amp;" - "&amp;C231</f>
        <v>Management processes - Financial performance</v>
      </c>
      <c r="E231" s="9" t="s">
        <v>8</v>
      </c>
      <c r="G231" s="9" t="s">
        <v>603</v>
      </c>
      <c r="H231" s="9" t="str">
        <f>IF(E231="x","Economic - "&amp;G231,"Environmental - "&amp;G231)</f>
        <v>Economic - Profit</v>
      </c>
      <c r="I231" s="12" t="s">
        <v>620</v>
      </c>
      <c r="J231" s="9" t="s">
        <v>621</v>
      </c>
      <c r="K231" s="9" t="s">
        <v>10</v>
      </c>
      <c r="L231" s="9" t="s">
        <v>19</v>
      </c>
      <c r="M231" s="9" t="s">
        <v>468</v>
      </c>
      <c r="N231" s="9">
        <f>LEN(O231) - LEN(SUBSTITUTE(O231, ";", ""))+1</f>
        <v>1</v>
      </c>
      <c r="O231" s="9" t="s">
        <v>622</v>
      </c>
      <c r="P231" s="9" t="s">
        <v>39</v>
      </c>
      <c r="Q231" s="9" t="s">
        <v>443</v>
      </c>
      <c r="R231" s="9" t="s">
        <v>17</v>
      </c>
      <c r="S231" s="9" t="s">
        <v>1828</v>
      </c>
      <c r="W231" s="23"/>
    </row>
    <row r="232" spans="1:23" ht="51.5" customHeight="1" x14ac:dyDescent="0.35">
      <c r="A232" s="9" t="s">
        <v>1632</v>
      </c>
      <c r="B232" s="9" t="s">
        <v>503</v>
      </c>
      <c r="C232" s="9" t="s">
        <v>576</v>
      </c>
      <c r="D232" s="9" t="str">
        <f>B232&amp;" - "&amp;C232</f>
        <v>Management processes - Financial performance</v>
      </c>
      <c r="E232" s="9" t="s">
        <v>8</v>
      </c>
      <c r="G232" s="9" t="s">
        <v>603</v>
      </c>
      <c r="H232" s="9" t="str">
        <f>IF(E232="x","Economic - "&amp;G232,"Environmental - "&amp;G232)</f>
        <v>Economic - Profit</v>
      </c>
      <c r="I232" s="12" t="s">
        <v>1865</v>
      </c>
      <c r="J232" s="9" t="s">
        <v>625</v>
      </c>
      <c r="K232" s="9" t="s">
        <v>10</v>
      </c>
      <c r="L232" s="9" t="s">
        <v>16</v>
      </c>
      <c r="M232" s="9" t="s">
        <v>468</v>
      </c>
      <c r="N232" s="9">
        <f>LEN(O232) - LEN(SUBSTITUTE(O232, ";", ""))+1</f>
        <v>1</v>
      </c>
      <c r="O232" s="9" t="s">
        <v>257</v>
      </c>
      <c r="P232" s="9" t="s">
        <v>39</v>
      </c>
      <c r="Q232" s="9" t="s">
        <v>258</v>
      </c>
      <c r="R232" s="9" t="s">
        <v>17</v>
      </c>
      <c r="S232" s="9" t="s">
        <v>1828</v>
      </c>
      <c r="W232" s="23"/>
    </row>
    <row r="233" spans="1:23" ht="51.5" customHeight="1" x14ac:dyDescent="0.35">
      <c r="A233" s="9" t="s">
        <v>1633</v>
      </c>
      <c r="B233" s="9" t="s">
        <v>503</v>
      </c>
      <c r="C233" s="9" t="s">
        <v>576</v>
      </c>
      <c r="D233" s="9" t="str">
        <f>B233&amp;" - "&amp;C233</f>
        <v>Management processes - Financial performance</v>
      </c>
      <c r="E233" s="9" t="s">
        <v>8</v>
      </c>
      <c r="G233" s="9" t="s">
        <v>603</v>
      </c>
      <c r="H233" s="9" t="str">
        <f>IF(E233="x","Economic - "&amp;G233,"Environmental - "&amp;G233)</f>
        <v>Economic - Profit</v>
      </c>
      <c r="I233" s="12" t="s">
        <v>626</v>
      </c>
      <c r="J233" s="9" t="s">
        <v>627</v>
      </c>
      <c r="K233" s="9" t="s">
        <v>10</v>
      </c>
      <c r="L233" s="9" t="s">
        <v>16</v>
      </c>
      <c r="M233" s="9" t="s">
        <v>468</v>
      </c>
      <c r="N233" s="9">
        <f>LEN(O233) - LEN(SUBSTITUTE(O233, ";", ""))+1</f>
        <v>1</v>
      </c>
      <c r="O233" s="9" t="s">
        <v>622</v>
      </c>
      <c r="P233" s="9" t="s">
        <v>39</v>
      </c>
      <c r="Q233" s="9" t="s">
        <v>443</v>
      </c>
      <c r="R233" s="9" t="s">
        <v>17</v>
      </c>
      <c r="S233" s="9" t="s">
        <v>1828</v>
      </c>
      <c r="W233" s="23"/>
    </row>
    <row r="234" spans="1:23" ht="51.5" customHeight="1" x14ac:dyDescent="0.35">
      <c r="A234" s="9" t="s">
        <v>1634</v>
      </c>
      <c r="B234" s="9" t="s">
        <v>503</v>
      </c>
      <c r="C234" s="9" t="s">
        <v>576</v>
      </c>
      <c r="D234" s="9" t="str">
        <f>B234&amp;" - "&amp;C234</f>
        <v>Management processes - Financial performance</v>
      </c>
      <c r="E234" s="9" t="s">
        <v>8</v>
      </c>
      <c r="G234" s="9" t="s">
        <v>603</v>
      </c>
      <c r="H234" s="9" t="str">
        <f>IF(E234="x","Economic - "&amp;G234,"Environmental - "&amp;G234)</f>
        <v>Economic - Profit</v>
      </c>
      <c r="I234" s="12" t="s">
        <v>628</v>
      </c>
      <c r="J234" s="9" t="s">
        <v>629</v>
      </c>
      <c r="K234" s="9" t="s">
        <v>10</v>
      </c>
      <c r="L234" s="9" t="s">
        <v>16</v>
      </c>
      <c r="M234" s="9" t="s">
        <v>468</v>
      </c>
      <c r="N234" s="9">
        <f>LEN(O234) - LEN(SUBSTITUTE(O234, ";", ""))+1</f>
        <v>4</v>
      </c>
      <c r="O234" s="9" t="s">
        <v>630</v>
      </c>
      <c r="P234" s="9" t="s">
        <v>39</v>
      </c>
      <c r="Q234" s="9" t="s">
        <v>1340</v>
      </c>
      <c r="R234" s="9" t="s">
        <v>17</v>
      </c>
      <c r="S234" s="9" t="s">
        <v>1824</v>
      </c>
      <c r="W234" s="23"/>
    </row>
    <row r="235" spans="1:23" ht="51.5" customHeight="1" x14ac:dyDescent="0.35">
      <c r="A235" s="9" t="s">
        <v>1635</v>
      </c>
      <c r="B235" s="9" t="s">
        <v>503</v>
      </c>
      <c r="C235" s="9" t="s">
        <v>576</v>
      </c>
      <c r="D235" s="9" t="str">
        <f>B235&amp;" - "&amp;C235</f>
        <v>Management processes - Financial performance</v>
      </c>
      <c r="E235" s="9" t="s">
        <v>8</v>
      </c>
      <c r="G235" s="9" t="s">
        <v>603</v>
      </c>
      <c r="H235" s="9" t="str">
        <f>IF(E235="x","Economic - "&amp;G235,"Environmental - "&amp;G235)</f>
        <v>Economic - Profit</v>
      </c>
      <c r="I235" s="12" t="s">
        <v>631</v>
      </c>
      <c r="J235" s="9" t="s">
        <v>632</v>
      </c>
      <c r="K235" s="9" t="s">
        <v>10</v>
      </c>
      <c r="L235" s="9" t="s">
        <v>16</v>
      </c>
      <c r="M235" s="9" t="s">
        <v>468</v>
      </c>
      <c r="N235" s="9">
        <f>LEN(O235) - LEN(SUBSTITUTE(O235, ";", ""))+1</f>
        <v>4</v>
      </c>
      <c r="O235" s="9" t="s">
        <v>633</v>
      </c>
      <c r="P235" s="9" t="s">
        <v>39</v>
      </c>
      <c r="Q235" s="9" t="s">
        <v>1329</v>
      </c>
      <c r="R235" s="9" t="s">
        <v>17</v>
      </c>
      <c r="S235" s="9" t="s">
        <v>1824</v>
      </c>
      <c r="W235" s="23"/>
    </row>
    <row r="236" spans="1:23" ht="51.5" customHeight="1" x14ac:dyDescent="0.35">
      <c r="A236" s="9" t="s">
        <v>1636</v>
      </c>
      <c r="B236" s="9" t="s">
        <v>503</v>
      </c>
      <c r="C236" s="9" t="s">
        <v>576</v>
      </c>
      <c r="D236" s="9" t="str">
        <f>B236&amp;" - "&amp;C236</f>
        <v>Management processes - Financial performance</v>
      </c>
      <c r="E236" s="9" t="s">
        <v>8</v>
      </c>
      <c r="G236" s="9" t="s">
        <v>603</v>
      </c>
      <c r="H236" s="9" t="str">
        <f>IF(E236="x","Economic - "&amp;G236,"Environmental - "&amp;G236)</f>
        <v>Economic - Profit</v>
      </c>
      <c r="I236" s="12" t="s">
        <v>634</v>
      </c>
      <c r="J236" s="9" t="s">
        <v>635</v>
      </c>
      <c r="K236" s="9" t="s">
        <v>10</v>
      </c>
      <c r="L236" s="9" t="s">
        <v>16</v>
      </c>
      <c r="M236" s="9" t="s">
        <v>468</v>
      </c>
      <c r="N236" s="9">
        <f>LEN(O236) - LEN(SUBSTITUTE(O236, ";", ""))+1</f>
        <v>2</v>
      </c>
      <c r="O236" s="9" t="s">
        <v>636</v>
      </c>
      <c r="P236" s="9" t="s">
        <v>39</v>
      </c>
      <c r="Q236" s="9" t="s">
        <v>258</v>
      </c>
      <c r="R236" s="9" t="s">
        <v>17</v>
      </c>
      <c r="S236" s="9" t="s">
        <v>1828</v>
      </c>
      <c r="W236" s="23"/>
    </row>
    <row r="237" spans="1:23" ht="51.5" customHeight="1" x14ac:dyDescent="0.35">
      <c r="A237" s="9" t="s">
        <v>1637</v>
      </c>
      <c r="B237" s="9" t="s">
        <v>503</v>
      </c>
      <c r="C237" s="9" t="s">
        <v>576</v>
      </c>
      <c r="D237" s="9" t="str">
        <f>B237&amp;" - "&amp;C237</f>
        <v>Management processes - Financial performance</v>
      </c>
      <c r="E237" s="9" t="s">
        <v>8</v>
      </c>
      <c r="G237" s="9" t="s">
        <v>603</v>
      </c>
      <c r="H237" s="9" t="str">
        <f>IF(E237="x","Economic - "&amp;G237,"Environmental - "&amp;G237)</f>
        <v>Economic - Profit</v>
      </c>
      <c r="I237" s="12" t="s">
        <v>637</v>
      </c>
      <c r="J237" s="9" t="s">
        <v>638</v>
      </c>
      <c r="K237" s="9" t="s">
        <v>10</v>
      </c>
      <c r="L237" s="9" t="s">
        <v>16</v>
      </c>
      <c r="M237" s="9" t="s">
        <v>468</v>
      </c>
      <c r="N237" s="9">
        <f>LEN(O237) - LEN(SUBSTITUTE(O237, ";", ""))+1</f>
        <v>3</v>
      </c>
      <c r="O237" s="9" t="s">
        <v>1359</v>
      </c>
      <c r="P237" s="9" t="s">
        <v>65</v>
      </c>
      <c r="Q237" s="9" t="s">
        <v>1339</v>
      </c>
      <c r="R237" s="9" t="s">
        <v>1341</v>
      </c>
      <c r="S237" s="9" t="s">
        <v>1826</v>
      </c>
      <c r="W237" s="23"/>
    </row>
    <row r="238" spans="1:23" ht="51.5" customHeight="1" x14ac:dyDescent="0.35">
      <c r="A238" s="9" t="s">
        <v>1638</v>
      </c>
      <c r="B238" s="9" t="s">
        <v>503</v>
      </c>
      <c r="C238" s="9" t="s">
        <v>576</v>
      </c>
      <c r="D238" s="9" t="str">
        <f>B238&amp;" - "&amp;C238</f>
        <v>Management processes - Financial performance</v>
      </c>
      <c r="E238" s="9" t="s">
        <v>8</v>
      </c>
      <c r="G238" s="9" t="s">
        <v>603</v>
      </c>
      <c r="H238" s="9" t="str">
        <f>IF(E238="x","Economic - "&amp;G238,"Environmental - "&amp;G238)</f>
        <v>Economic - Profit</v>
      </c>
      <c r="I238" s="12" t="s">
        <v>639</v>
      </c>
      <c r="J238" s="9" t="s">
        <v>640</v>
      </c>
      <c r="K238" s="9" t="s">
        <v>10</v>
      </c>
      <c r="L238" s="9" t="s">
        <v>16</v>
      </c>
      <c r="M238" s="9" t="s">
        <v>468</v>
      </c>
      <c r="N238" s="9">
        <f>LEN(O238) - LEN(SUBSTITUTE(O238, ";", ""))+1</f>
        <v>2</v>
      </c>
      <c r="O238" s="9" t="s">
        <v>180</v>
      </c>
      <c r="P238" s="9" t="s">
        <v>84</v>
      </c>
      <c r="Q238" s="9" t="s">
        <v>1309</v>
      </c>
      <c r="R238" s="9" t="s">
        <v>1292</v>
      </c>
      <c r="S238" s="9" t="s">
        <v>17</v>
      </c>
      <c r="W238" s="23"/>
    </row>
    <row r="239" spans="1:23" ht="51.5" customHeight="1" x14ac:dyDescent="0.35">
      <c r="A239" s="9" t="s">
        <v>1639</v>
      </c>
      <c r="B239" s="9" t="s">
        <v>503</v>
      </c>
      <c r="C239" s="9" t="s">
        <v>576</v>
      </c>
      <c r="D239" s="9" t="str">
        <f>B239&amp;" - "&amp;C239</f>
        <v>Management processes - Financial performance</v>
      </c>
      <c r="E239" s="9" t="s">
        <v>8</v>
      </c>
      <c r="G239" s="9" t="s">
        <v>603</v>
      </c>
      <c r="H239" s="9" t="str">
        <f>IF(E239="x","Economic - "&amp;G239,"Environmental - "&amp;G239)</f>
        <v>Economic - Profit</v>
      </c>
      <c r="I239" s="12" t="s">
        <v>641</v>
      </c>
      <c r="J239" s="9" t="s">
        <v>642</v>
      </c>
      <c r="K239" s="9" t="s">
        <v>10</v>
      </c>
      <c r="L239" s="9" t="s">
        <v>16</v>
      </c>
      <c r="M239" s="9" t="s">
        <v>468</v>
      </c>
      <c r="N239" s="9">
        <f>LEN(O239) - LEN(SUBSTITUTE(O239, ";", ""))+1</f>
        <v>3</v>
      </c>
      <c r="O239" s="9" t="s">
        <v>1061</v>
      </c>
      <c r="P239" s="9" t="s">
        <v>74</v>
      </c>
      <c r="Q239" s="9" t="s">
        <v>643</v>
      </c>
      <c r="R239" s="9" t="s">
        <v>17</v>
      </c>
      <c r="S239" s="9" t="s">
        <v>1824</v>
      </c>
      <c r="W239" s="23"/>
    </row>
    <row r="240" spans="1:23" ht="51.5" customHeight="1" x14ac:dyDescent="0.35">
      <c r="A240" s="9" t="s">
        <v>1640</v>
      </c>
      <c r="B240" s="9" t="s">
        <v>503</v>
      </c>
      <c r="C240" s="9" t="s">
        <v>576</v>
      </c>
      <c r="D240" s="9" t="str">
        <f>B240&amp;" - "&amp;C240</f>
        <v>Management processes - Financial performance</v>
      </c>
      <c r="E240" s="9" t="s">
        <v>8</v>
      </c>
      <c r="G240" s="9" t="s">
        <v>603</v>
      </c>
      <c r="H240" s="9" t="str">
        <f>IF(E240="x","Economic - "&amp;G240,"Environmental - "&amp;G240)</f>
        <v>Economic - Profit</v>
      </c>
      <c r="I240" s="12" t="s">
        <v>644</v>
      </c>
      <c r="J240" s="9" t="s">
        <v>645</v>
      </c>
      <c r="K240" s="9" t="s">
        <v>10</v>
      </c>
      <c r="L240" s="9" t="s">
        <v>19</v>
      </c>
      <c r="M240" s="9" t="s">
        <v>468</v>
      </c>
      <c r="N240" s="9">
        <f>LEN(O240) - LEN(SUBSTITUTE(O240, ";", ""))+1</f>
        <v>1</v>
      </c>
      <c r="O240" s="9" t="s">
        <v>622</v>
      </c>
      <c r="P240" s="9" t="s">
        <v>39</v>
      </c>
      <c r="Q240" s="9" t="s">
        <v>443</v>
      </c>
      <c r="R240" s="9" t="s">
        <v>17</v>
      </c>
      <c r="S240" s="9" t="s">
        <v>1828</v>
      </c>
      <c r="W240" s="23"/>
    </row>
    <row r="241" spans="1:23" ht="51.5" customHeight="1" x14ac:dyDescent="0.35">
      <c r="A241" s="9" t="s">
        <v>1641</v>
      </c>
      <c r="B241" s="9" t="s">
        <v>503</v>
      </c>
      <c r="C241" s="9" t="s">
        <v>576</v>
      </c>
      <c r="D241" s="9" t="str">
        <f>B241&amp;" - "&amp;C241</f>
        <v>Management processes - Financial performance</v>
      </c>
      <c r="E241" s="9" t="s">
        <v>8</v>
      </c>
      <c r="G241" s="9" t="s">
        <v>603</v>
      </c>
      <c r="H241" s="9" t="str">
        <f>IF(E241="x","Economic - "&amp;G241,"Environmental - "&amp;G241)</f>
        <v>Economic - Profit</v>
      </c>
      <c r="I241" s="12" t="s">
        <v>646</v>
      </c>
      <c r="J241" s="9" t="s">
        <v>647</v>
      </c>
      <c r="K241" s="9" t="s">
        <v>10</v>
      </c>
      <c r="L241" s="9" t="s">
        <v>19</v>
      </c>
      <c r="M241" s="9" t="s">
        <v>468</v>
      </c>
      <c r="N241" s="9">
        <f>LEN(O241) - LEN(SUBSTITUTE(O241, ";", ""))+1</f>
        <v>1</v>
      </c>
      <c r="O241" s="9" t="s">
        <v>581</v>
      </c>
      <c r="P241" s="9" t="s">
        <v>39</v>
      </c>
      <c r="Q241" s="9" t="s">
        <v>1338</v>
      </c>
      <c r="R241" s="9" t="s">
        <v>17</v>
      </c>
      <c r="S241" s="9" t="s">
        <v>17</v>
      </c>
      <c r="W241" s="23"/>
    </row>
    <row r="242" spans="1:23" ht="51.5" customHeight="1" x14ac:dyDescent="0.35">
      <c r="A242" s="9" t="s">
        <v>1642</v>
      </c>
      <c r="B242" s="9" t="s">
        <v>503</v>
      </c>
      <c r="C242" s="9" t="s">
        <v>576</v>
      </c>
      <c r="D242" s="9" t="str">
        <f>B242&amp;" - "&amp;C242</f>
        <v>Management processes - Financial performance</v>
      </c>
      <c r="E242" s="9" t="s">
        <v>8</v>
      </c>
      <c r="G242" s="9" t="s">
        <v>1090</v>
      </c>
      <c r="H242" s="9" t="str">
        <f>IF(E242="x","Economic - "&amp;G242,"Environmental - "&amp;G242)</f>
        <v>Economic - Other</v>
      </c>
      <c r="I242" s="12" t="s">
        <v>648</v>
      </c>
      <c r="J242" s="9" t="s">
        <v>649</v>
      </c>
      <c r="K242" s="9" t="s">
        <v>10</v>
      </c>
      <c r="L242" s="9" t="s">
        <v>16</v>
      </c>
      <c r="M242" s="9" t="s">
        <v>468</v>
      </c>
      <c r="N242" s="9">
        <f>LEN(O242) - LEN(SUBSTITUTE(O242, ";", ""))+1</f>
        <v>1</v>
      </c>
      <c r="O242" s="9" t="s">
        <v>650</v>
      </c>
      <c r="P242" s="9" t="s">
        <v>39</v>
      </c>
      <c r="Q242" s="9" t="s">
        <v>98</v>
      </c>
      <c r="R242" s="9" t="s">
        <v>17</v>
      </c>
      <c r="S242" s="9" t="s">
        <v>1828</v>
      </c>
      <c r="W242" s="23"/>
    </row>
    <row r="243" spans="1:23" ht="51.5" customHeight="1" x14ac:dyDescent="0.35">
      <c r="A243" s="9" t="s">
        <v>1643</v>
      </c>
      <c r="B243" s="9" t="s">
        <v>503</v>
      </c>
      <c r="C243" s="9" t="s">
        <v>576</v>
      </c>
      <c r="D243" s="9" t="str">
        <f>B243&amp;" - "&amp;C243</f>
        <v>Management processes - Financial performance</v>
      </c>
      <c r="E243" s="9" t="s">
        <v>8</v>
      </c>
      <c r="G243" s="9" t="s">
        <v>603</v>
      </c>
      <c r="H243" s="9" t="str">
        <f>IF(E243="x","Economic - "&amp;G243,"Environmental - "&amp;G243)</f>
        <v>Economic - Profit</v>
      </c>
      <c r="I243" s="12" t="s">
        <v>651</v>
      </c>
      <c r="J243" s="9" t="s">
        <v>652</v>
      </c>
      <c r="K243" s="9" t="s">
        <v>10</v>
      </c>
      <c r="L243" s="9" t="s">
        <v>16</v>
      </c>
      <c r="M243" s="9" t="s">
        <v>468</v>
      </c>
      <c r="N243" s="9">
        <f>LEN(O243) - LEN(SUBSTITUTE(O243, ";", ""))+1</f>
        <v>1</v>
      </c>
      <c r="O243" s="9" t="s">
        <v>257</v>
      </c>
      <c r="P243" s="9" t="s">
        <v>39</v>
      </c>
      <c r="Q243" s="9" t="s">
        <v>258</v>
      </c>
      <c r="R243" s="9" t="s">
        <v>17</v>
      </c>
      <c r="S243" s="9" t="s">
        <v>1828</v>
      </c>
      <c r="W243" s="23"/>
    </row>
    <row r="244" spans="1:23" ht="51.5" customHeight="1" x14ac:dyDescent="0.35">
      <c r="A244" s="9" t="s">
        <v>1644</v>
      </c>
      <c r="B244" s="9" t="s">
        <v>503</v>
      </c>
      <c r="C244" s="9" t="s">
        <v>576</v>
      </c>
      <c r="D244" s="9" t="str">
        <f>B244&amp;" - "&amp;C244</f>
        <v>Management processes - Financial performance</v>
      </c>
      <c r="E244" s="9" t="s">
        <v>8</v>
      </c>
      <c r="G244" s="9" t="s">
        <v>603</v>
      </c>
      <c r="H244" s="9" t="str">
        <f>IF(E244="x","Economic - "&amp;G244,"Environmental - "&amp;G244)</f>
        <v>Economic - Profit</v>
      </c>
      <c r="I244" s="12" t="s">
        <v>653</v>
      </c>
      <c r="J244" s="9" t="s">
        <v>654</v>
      </c>
      <c r="K244" s="9" t="s">
        <v>10</v>
      </c>
      <c r="L244" s="9" t="s">
        <v>16</v>
      </c>
      <c r="M244" s="9" t="s">
        <v>468</v>
      </c>
      <c r="N244" s="9">
        <f>LEN(O244) - LEN(SUBSTITUTE(O244, ";", ""))+1</f>
        <v>2</v>
      </c>
      <c r="O244" s="9" t="s">
        <v>655</v>
      </c>
      <c r="P244" s="9" t="s">
        <v>39</v>
      </c>
      <c r="Q244" s="9" t="s">
        <v>656</v>
      </c>
      <c r="R244" s="9" t="s">
        <v>17</v>
      </c>
      <c r="S244" s="9" t="s">
        <v>1828</v>
      </c>
      <c r="W244" s="23"/>
    </row>
    <row r="245" spans="1:23" ht="51.5" customHeight="1" x14ac:dyDescent="0.35">
      <c r="A245" s="9" t="s">
        <v>1645</v>
      </c>
      <c r="B245" s="9" t="s">
        <v>503</v>
      </c>
      <c r="C245" s="9" t="s">
        <v>576</v>
      </c>
      <c r="D245" s="9" t="str">
        <f>B245&amp;" - "&amp;C245</f>
        <v>Management processes - Financial performance</v>
      </c>
      <c r="E245" s="9" t="s">
        <v>8</v>
      </c>
      <c r="G245" s="9" t="s">
        <v>603</v>
      </c>
      <c r="H245" s="9" t="str">
        <f>IF(E245="x","Economic - "&amp;G245,"Environmental - "&amp;G245)</f>
        <v>Economic - Profit</v>
      </c>
      <c r="I245" s="12" t="s">
        <v>657</v>
      </c>
      <c r="J245" s="9" t="s">
        <v>658</v>
      </c>
      <c r="K245" s="9" t="s">
        <v>10</v>
      </c>
      <c r="L245" s="9" t="s">
        <v>57</v>
      </c>
      <c r="M245" s="9" t="s">
        <v>468</v>
      </c>
      <c r="N245" s="9">
        <f>LEN(O245) - LEN(SUBSTITUTE(O245, ";", ""))+1</f>
        <v>2</v>
      </c>
      <c r="O245" s="9" t="s">
        <v>1062</v>
      </c>
      <c r="P245" s="9" t="s">
        <v>39</v>
      </c>
      <c r="Q245" s="9" t="s">
        <v>656</v>
      </c>
      <c r="R245" s="9" t="s">
        <v>17</v>
      </c>
      <c r="S245" s="9" t="s">
        <v>1828</v>
      </c>
      <c r="W245" s="23"/>
    </row>
    <row r="246" spans="1:23" ht="51.5" customHeight="1" x14ac:dyDescent="0.35">
      <c r="A246" s="9" t="s">
        <v>1646</v>
      </c>
      <c r="B246" s="9" t="s">
        <v>503</v>
      </c>
      <c r="C246" s="9" t="s">
        <v>576</v>
      </c>
      <c r="D246" s="9" t="str">
        <f>B246&amp;" - "&amp;C246</f>
        <v>Management processes - Financial performance</v>
      </c>
      <c r="E246" s="9" t="s">
        <v>8</v>
      </c>
      <c r="G246" s="9" t="s">
        <v>603</v>
      </c>
      <c r="H246" s="9" t="str">
        <f>IF(E246="x","Economic - "&amp;G246,"Environmental - "&amp;G246)</f>
        <v>Economic - Profit</v>
      </c>
      <c r="I246" s="12" t="s">
        <v>659</v>
      </c>
      <c r="J246" s="9" t="s">
        <v>660</v>
      </c>
      <c r="K246" s="9" t="s">
        <v>10</v>
      </c>
      <c r="L246" s="9" t="s">
        <v>57</v>
      </c>
      <c r="M246" s="9" t="s">
        <v>468</v>
      </c>
      <c r="N246" s="9">
        <f>LEN(O246) - LEN(SUBSTITUTE(O246, ";", ""))+1</f>
        <v>1</v>
      </c>
      <c r="O246" s="9" t="s">
        <v>622</v>
      </c>
      <c r="P246" s="9" t="s">
        <v>39</v>
      </c>
      <c r="Q246" s="9" t="s">
        <v>443</v>
      </c>
      <c r="R246" s="9" t="s">
        <v>17</v>
      </c>
      <c r="S246" s="9" t="s">
        <v>1828</v>
      </c>
      <c r="W246" s="23"/>
    </row>
    <row r="247" spans="1:23" ht="51.5" customHeight="1" x14ac:dyDescent="0.35">
      <c r="A247" s="9" t="s">
        <v>1647</v>
      </c>
      <c r="B247" s="9" t="s">
        <v>503</v>
      </c>
      <c r="C247" s="9" t="s">
        <v>576</v>
      </c>
      <c r="D247" s="9" t="str">
        <f>B247&amp;" - "&amp;C247</f>
        <v>Management processes - Financial performance</v>
      </c>
      <c r="E247" s="9" t="s">
        <v>8</v>
      </c>
      <c r="G247" s="9" t="s">
        <v>1086</v>
      </c>
      <c r="H247" s="9" t="str">
        <f>IF(E247="x","Economic - "&amp;G247,"Environmental - "&amp;G247)</f>
        <v>Economic - Cost</v>
      </c>
      <c r="I247" s="12" t="s">
        <v>661</v>
      </c>
      <c r="J247" s="9" t="s">
        <v>662</v>
      </c>
      <c r="K247" s="9" t="s">
        <v>10</v>
      </c>
      <c r="L247" s="9" t="s">
        <v>57</v>
      </c>
      <c r="M247" s="9" t="s">
        <v>468</v>
      </c>
      <c r="N247" s="9">
        <f>LEN(O247) - LEN(SUBSTITUTE(O247, ";", ""))+1</f>
        <v>1</v>
      </c>
      <c r="O247" s="9" t="s">
        <v>622</v>
      </c>
      <c r="P247" s="9" t="s">
        <v>39</v>
      </c>
      <c r="Q247" s="9" t="s">
        <v>443</v>
      </c>
      <c r="R247" s="9" t="s">
        <v>17</v>
      </c>
      <c r="S247" s="9" t="s">
        <v>1828</v>
      </c>
      <c r="W247" s="23"/>
    </row>
    <row r="248" spans="1:23" ht="51.5" customHeight="1" x14ac:dyDescent="0.35">
      <c r="A248" s="9" t="s">
        <v>1648</v>
      </c>
      <c r="B248" s="9" t="s">
        <v>503</v>
      </c>
      <c r="C248" s="9" t="s">
        <v>576</v>
      </c>
      <c r="D248" s="9" t="str">
        <f>B248&amp;" - "&amp;C248</f>
        <v>Management processes - Financial performance</v>
      </c>
      <c r="E248" s="9" t="s">
        <v>8</v>
      </c>
      <c r="G248" s="9" t="s">
        <v>603</v>
      </c>
      <c r="H248" s="9" t="str">
        <f>IF(E248="x","Economic - "&amp;G248,"Environmental - "&amp;G248)</f>
        <v>Economic - Profit</v>
      </c>
      <c r="I248" s="12" t="s">
        <v>663</v>
      </c>
      <c r="J248" s="9" t="s">
        <v>664</v>
      </c>
      <c r="K248" s="9" t="s">
        <v>10</v>
      </c>
      <c r="L248" s="9" t="s">
        <v>16</v>
      </c>
      <c r="M248" s="9" t="s">
        <v>468</v>
      </c>
      <c r="N248" s="9">
        <f>LEN(O248) - LEN(SUBSTITUTE(O248, ";", ""))+1</f>
        <v>2</v>
      </c>
      <c r="O248" s="9" t="s">
        <v>665</v>
      </c>
      <c r="P248" s="9" t="s">
        <v>39</v>
      </c>
      <c r="Q248" s="9" t="s">
        <v>1342</v>
      </c>
      <c r="R248" s="9" t="s">
        <v>17</v>
      </c>
      <c r="S248" s="9" t="s">
        <v>1824</v>
      </c>
      <c r="W248" s="23"/>
    </row>
    <row r="249" spans="1:23" ht="51.5" customHeight="1" x14ac:dyDescent="0.35">
      <c r="A249" s="9" t="s">
        <v>1649</v>
      </c>
      <c r="B249" s="9" t="s">
        <v>503</v>
      </c>
      <c r="C249" s="9" t="s">
        <v>576</v>
      </c>
      <c r="D249" s="9" t="str">
        <f>B249&amp;" - "&amp;C249</f>
        <v>Management processes - Financial performance</v>
      </c>
      <c r="E249" s="9" t="s">
        <v>8</v>
      </c>
      <c r="G249" s="9" t="s">
        <v>603</v>
      </c>
      <c r="H249" s="9" t="str">
        <f>IF(E249="x","Economic - "&amp;G249,"Environmental - "&amp;G249)</f>
        <v>Economic - Profit</v>
      </c>
      <c r="I249" s="12" t="s">
        <v>666</v>
      </c>
      <c r="J249" s="9" t="s">
        <v>667</v>
      </c>
      <c r="K249" s="9" t="s">
        <v>10</v>
      </c>
      <c r="L249" s="9" t="s">
        <v>16</v>
      </c>
      <c r="M249" s="9" t="s">
        <v>468</v>
      </c>
      <c r="N249" s="9">
        <f>LEN(O249) - LEN(SUBSTITUTE(O249, ";", ""))+1</f>
        <v>1</v>
      </c>
      <c r="O249" s="9" t="s">
        <v>257</v>
      </c>
      <c r="P249" s="9" t="s">
        <v>39</v>
      </c>
      <c r="Q249" s="9" t="s">
        <v>258</v>
      </c>
      <c r="R249" s="9" t="s">
        <v>17</v>
      </c>
      <c r="S249" s="9" t="s">
        <v>1828</v>
      </c>
      <c r="W249" s="23"/>
    </row>
    <row r="250" spans="1:23" ht="51.5" customHeight="1" x14ac:dyDescent="0.35">
      <c r="A250" s="9" t="s">
        <v>1650</v>
      </c>
      <c r="B250" s="9" t="s">
        <v>503</v>
      </c>
      <c r="C250" s="9" t="s">
        <v>576</v>
      </c>
      <c r="D250" s="9" t="str">
        <f>B250&amp;" - "&amp;C250</f>
        <v>Management processes - Financial performance</v>
      </c>
      <c r="E250" s="9" t="s">
        <v>8</v>
      </c>
      <c r="G250" s="9" t="s">
        <v>1090</v>
      </c>
      <c r="H250" s="9" t="str">
        <f>IF(E250="x","Economic - "&amp;G250,"Environmental - "&amp;G250)</f>
        <v>Economic - Other</v>
      </c>
      <c r="I250" s="12" t="s">
        <v>668</v>
      </c>
      <c r="J250" s="9" t="s">
        <v>669</v>
      </c>
      <c r="K250" s="9" t="s">
        <v>10</v>
      </c>
      <c r="L250" s="9" t="s">
        <v>19</v>
      </c>
      <c r="M250" s="9" t="s">
        <v>468</v>
      </c>
      <c r="N250" s="9">
        <f>LEN(O250) - LEN(SUBSTITUTE(O250, ";", ""))+1</f>
        <v>1</v>
      </c>
      <c r="O250" s="9" t="s">
        <v>581</v>
      </c>
      <c r="P250" s="9" t="s">
        <v>39</v>
      </c>
      <c r="Q250" s="9" t="s">
        <v>1338</v>
      </c>
      <c r="R250" s="9" t="s">
        <v>17</v>
      </c>
      <c r="S250" s="9" t="s">
        <v>17</v>
      </c>
      <c r="W250" s="23"/>
    </row>
    <row r="251" spans="1:23" ht="51.5" customHeight="1" x14ac:dyDescent="0.35">
      <c r="A251" s="9" t="s">
        <v>1651</v>
      </c>
      <c r="B251" s="9" t="s">
        <v>503</v>
      </c>
      <c r="C251" s="9" t="s">
        <v>576</v>
      </c>
      <c r="D251" s="9" t="str">
        <f>B251&amp;" - "&amp;C251</f>
        <v>Management processes - Financial performance</v>
      </c>
      <c r="E251" s="9" t="s">
        <v>8</v>
      </c>
      <c r="G251" s="9" t="s">
        <v>1090</v>
      </c>
      <c r="H251" s="9" t="str">
        <f>IF(E251="x","Economic - "&amp;G251,"Environmental - "&amp;G251)</f>
        <v>Economic - Other</v>
      </c>
      <c r="I251" s="12" t="s">
        <v>670</v>
      </c>
      <c r="J251" s="9" t="s">
        <v>1140</v>
      </c>
      <c r="K251" s="9" t="s">
        <v>10</v>
      </c>
      <c r="L251" s="9" t="s">
        <v>19</v>
      </c>
      <c r="M251" s="9" t="s">
        <v>468</v>
      </c>
      <c r="N251" s="9">
        <f>LEN(O251) - LEN(SUBSTITUTE(O251, ";", ""))+1</f>
        <v>2</v>
      </c>
      <c r="O251" s="9" t="s">
        <v>671</v>
      </c>
      <c r="P251" s="9" t="s">
        <v>39</v>
      </c>
      <c r="Q251" s="9" t="s">
        <v>1294</v>
      </c>
      <c r="R251" s="9" t="s">
        <v>1284</v>
      </c>
      <c r="S251" s="9" t="s">
        <v>17</v>
      </c>
      <c r="W251" s="23"/>
    </row>
    <row r="252" spans="1:23" ht="51.5" customHeight="1" x14ac:dyDescent="0.35">
      <c r="A252" s="9" t="s">
        <v>1652</v>
      </c>
      <c r="B252" s="9" t="s">
        <v>503</v>
      </c>
      <c r="C252" s="9" t="s">
        <v>576</v>
      </c>
      <c r="D252" s="9" t="str">
        <f>B252&amp;" - "&amp;C252</f>
        <v>Management processes - Financial performance</v>
      </c>
      <c r="E252" s="9" t="s">
        <v>8</v>
      </c>
      <c r="G252" s="9" t="s">
        <v>1090</v>
      </c>
      <c r="H252" s="9" t="str">
        <f>IF(E252="x","Economic - "&amp;G252,"Environmental - "&amp;G252)</f>
        <v>Economic - Other</v>
      </c>
      <c r="I252" s="12" t="s">
        <v>672</v>
      </c>
      <c r="J252" s="9" t="s">
        <v>673</v>
      </c>
      <c r="K252" s="9" t="s">
        <v>10</v>
      </c>
      <c r="L252" s="9" t="s">
        <v>19</v>
      </c>
      <c r="M252" s="9" t="s">
        <v>468</v>
      </c>
      <c r="N252" s="9">
        <f>LEN(O252) - LEN(SUBSTITUTE(O252, ";", ""))+1</f>
        <v>2</v>
      </c>
      <c r="O252" s="9" t="s">
        <v>671</v>
      </c>
      <c r="P252" s="9" t="s">
        <v>39</v>
      </c>
      <c r="Q252" s="9" t="s">
        <v>1294</v>
      </c>
      <c r="R252" s="9" t="s">
        <v>1284</v>
      </c>
      <c r="S252" s="9" t="s">
        <v>17</v>
      </c>
      <c r="W252" s="23"/>
    </row>
    <row r="253" spans="1:23" ht="51.5" customHeight="1" x14ac:dyDescent="0.35">
      <c r="A253" s="9" t="s">
        <v>1653</v>
      </c>
      <c r="B253" s="9" t="s">
        <v>503</v>
      </c>
      <c r="C253" s="9" t="s">
        <v>576</v>
      </c>
      <c r="D253" s="9" t="str">
        <f>B253&amp;" - "&amp;C253</f>
        <v>Management processes - Financial performance</v>
      </c>
      <c r="E253" s="9" t="s">
        <v>8</v>
      </c>
      <c r="G253" s="9" t="s">
        <v>1086</v>
      </c>
      <c r="H253" s="9" t="str">
        <f>IF(E253="x","Economic - "&amp;G253,"Environmental - "&amp;G253)</f>
        <v>Economic - Cost</v>
      </c>
      <c r="I253" s="12" t="s">
        <v>583</v>
      </c>
      <c r="J253" s="9" t="s">
        <v>584</v>
      </c>
      <c r="K253" s="9" t="s">
        <v>10</v>
      </c>
      <c r="L253" s="9" t="s">
        <v>19</v>
      </c>
      <c r="M253" s="9" t="s">
        <v>468</v>
      </c>
      <c r="N253" s="9">
        <f>LEN(O253) - LEN(SUBSTITUTE(O253, ";", ""))+1</f>
        <v>2</v>
      </c>
      <c r="O253" s="9" t="s">
        <v>671</v>
      </c>
      <c r="P253" s="9" t="s">
        <v>39</v>
      </c>
      <c r="Q253" s="9" t="s">
        <v>1294</v>
      </c>
      <c r="R253" s="9" t="s">
        <v>1284</v>
      </c>
      <c r="S253" s="9" t="s">
        <v>17</v>
      </c>
      <c r="W253" s="23"/>
    </row>
    <row r="254" spans="1:23" ht="51.5" customHeight="1" x14ac:dyDescent="0.35">
      <c r="A254" s="9" t="s">
        <v>1654</v>
      </c>
      <c r="B254" s="9" t="s">
        <v>503</v>
      </c>
      <c r="C254" s="9" t="s">
        <v>576</v>
      </c>
      <c r="D254" s="9" t="str">
        <f>B254&amp;" - "&amp;C254</f>
        <v>Management processes - Financial performance</v>
      </c>
      <c r="E254" s="9" t="s">
        <v>8</v>
      </c>
      <c r="G254" s="9" t="s">
        <v>1086</v>
      </c>
      <c r="H254" s="9" t="str">
        <f>IF(E254="x","Economic - "&amp;G254,"Environmental - "&amp;G254)</f>
        <v>Economic - Cost</v>
      </c>
      <c r="I254" s="12" t="s">
        <v>1120</v>
      </c>
      <c r="J254" s="9" t="s">
        <v>1119</v>
      </c>
      <c r="K254" s="9" t="s">
        <v>10</v>
      </c>
      <c r="L254" s="9" t="s">
        <v>16</v>
      </c>
      <c r="M254" s="9" t="s">
        <v>468</v>
      </c>
      <c r="N254" s="9">
        <f>LEN(O254) - LEN(SUBSTITUTE(O254, ";", ""))+1</f>
        <v>3</v>
      </c>
      <c r="O254" s="9" t="s">
        <v>674</v>
      </c>
      <c r="P254" s="9" t="s">
        <v>39</v>
      </c>
      <c r="Q254" s="9" t="s">
        <v>1343</v>
      </c>
      <c r="R254" s="9" t="s">
        <v>17</v>
      </c>
      <c r="S254" s="9" t="s">
        <v>1824</v>
      </c>
      <c r="W254" s="23"/>
    </row>
    <row r="255" spans="1:23" ht="51.5" customHeight="1" x14ac:dyDescent="0.35">
      <c r="A255" s="9" t="s">
        <v>1655</v>
      </c>
      <c r="B255" s="9" t="s">
        <v>503</v>
      </c>
      <c r="C255" s="9" t="s">
        <v>576</v>
      </c>
      <c r="D255" s="9" t="str">
        <f>B255&amp;" - "&amp;C255</f>
        <v>Management processes - Financial performance</v>
      </c>
      <c r="E255" s="9" t="s">
        <v>8</v>
      </c>
      <c r="G255" s="9" t="s">
        <v>1086</v>
      </c>
      <c r="H255" s="9" t="str">
        <f>IF(E255="x","Economic - "&amp;G255,"Environmental - "&amp;G255)</f>
        <v>Economic - Cost</v>
      </c>
      <c r="I255" s="12" t="s">
        <v>675</v>
      </c>
      <c r="J255" s="9" t="s">
        <v>676</v>
      </c>
      <c r="K255" s="9" t="s">
        <v>10</v>
      </c>
      <c r="L255" s="9" t="s">
        <v>19</v>
      </c>
      <c r="M255" s="9" t="s">
        <v>468</v>
      </c>
      <c r="N255" s="9">
        <f>LEN(O255) - LEN(SUBSTITUTE(O255, ";", ""))+1</f>
        <v>2</v>
      </c>
      <c r="O255" s="9" t="s">
        <v>677</v>
      </c>
      <c r="P255" s="9" t="s">
        <v>74</v>
      </c>
      <c r="Q255" s="9" t="s">
        <v>17</v>
      </c>
      <c r="R255" s="9" t="s">
        <v>17</v>
      </c>
      <c r="S255" s="9" t="s">
        <v>17</v>
      </c>
      <c r="W255" s="23"/>
    </row>
    <row r="256" spans="1:23" ht="51.5" customHeight="1" x14ac:dyDescent="0.35">
      <c r="A256" s="9" t="s">
        <v>1656</v>
      </c>
      <c r="B256" s="9" t="s">
        <v>503</v>
      </c>
      <c r="C256" s="9" t="s">
        <v>576</v>
      </c>
      <c r="D256" s="9" t="str">
        <f>B256&amp;" - "&amp;C256</f>
        <v>Management processes - Financial performance</v>
      </c>
      <c r="E256" s="9" t="s">
        <v>8</v>
      </c>
      <c r="G256" s="9" t="s">
        <v>1090</v>
      </c>
      <c r="H256" s="9" t="str">
        <f>IF(E256="x","Economic - "&amp;G256,"Environmental - "&amp;G256)</f>
        <v>Economic - Other</v>
      </c>
      <c r="I256" s="12" t="s">
        <v>678</v>
      </c>
      <c r="J256" s="9" t="s">
        <v>679</v>
      </c>
      <c r="K256" s="9" t="s">
        <v>10</v>
      </c>
      <c r="L256" s="9" t="s">
        <v>16</v>
      </c>
      <c r="M256" s="9" t="s">
        <v>468</v>
      </c>
      <c r="N256" s="9">
        <f>LEN(O256) - LEN(SUBSTITUTE(O256, ";", ""))+1</f>
        <v>1</v>
      </c>
      <c r="O256" s="9" t="s">
        <v>257</v>
      </c>
      <c r="P256" s="9" t="s">
        <v>39</v>
      </c>
      <c r="Q256" s="9" t="s">
        <v>258</v>
      </c>
      <c r="R256" s="9" t="s">
        <v>17</v>
      </c>
      <c r="S256" s="9" t="s">
        <v>1828</v>
      </c>
      <c r="W256" s="23"/>
    </row>
    <row r="257" spans="1:23" ht="51.5" customHeight="1" x14ac:dyDescent="0.35">
      <c r="A257" s="9" t="s">
        <v>1657</v>
      </c>
      <c r="B257" s="9" t="s">
        <v>503</v>
      </c>
      <c r="C257" s="9" t="s">
        <v>576</v>
      </c>
      <c r="D257" s="9" t="str">
        <f>B257&amp;" - "&amp;C257</f>
        <v>Management processes - Financial performance</v>
      </c>
      <c r="E257" s="9" t="s">
        <v>8</v>
      </c>
      <c r="G257" s="9" t="s">
        <v>1090</v>
      </c>
      <c r="H257" s="9" t="str">
        <f>IF(E257="x","Economic - "&amp;G257,"Environmental - "&amp;G257)</f>
        <v>Economic - Other</v>
      </c>
      <c r="I257" s="12" t="s">
        <v>1182</v>
      </c>
      <c r="J257" s="9" t="s">
        <v>1181</v>
      </c>
      <c r="K257" s="9" t="s">
        <v>10</v>
      </c>
      <c r="L257" s="9" t="s">
        <v>16</v>
      </c>
      <c r="M257" s="9" t="s">
        <v>468</v>
      </c>
      <c r="N257" s="9">
        <f>LEN(O257) - LEN(SUBSTITUTE(O257, ";", ""))+1</f>
        <v>1</v>
      </c>
      <c r="O257" s="9" t="s">
        <v>257</v>
      </c>
      <c r="P257" s="9" t="s">
        <v>39</v>
      </c>
      <c r="Q257" s="9" t="s">
        <v>258</v>
      </c>
      <c r="R257" s="9" t="s">
        <v>17</v>
      </c>
      <c r="S257" s="9" t="s">
        <v>1828</v>
      </c>
      <c r="W257" s="23"/>
    </row>
    <row r="258" spans="1:23" ht="51.5" customHeight="1" x14ac:dyDescent="0.35">
      <c r="A258" s="9" t="s">
        <v>1658</v>
      </c>
      <c r="B258" s="9" t="s">
        <v>503</v>
      </c>
      <c r="C258" s="9" t="s">
        <v>576</v>
      </c>
      <c r="D258" s="9" t="str">
        <f>B258&amp;" - "&amp;C258</f>
        <v>Management processes - Financial performance</v>
      </c>
      <c r="E258" s="9" t="s">
        <v>8</v>
      </c>
      <c r="G258" s="9" t="s">
        <v>1090</v>
      </c>
      <c r="H258" s="9" t="str">
        <f>IF(E258="x","Economic - "&amp;G258,"Environmental - "&amp;G258)</f>
        <v>Economic - Other</v>
      </c>
      <c r="I258" s="12" t="s">
        <v>1183</v>
      </c>
      <c r="J258" s="9" t="s">
        <v>1184</v>
      </c>
      <c r="K258" s="9" t="s">
        <v>10</v>
      </c>
      <c r="L258" s="9" t="s">
        <v>16</v>
      </c>
      <c r="M258" s="9" t="s">
        <v>468</v>
      </c>
      <c r="N258" s="9">
        <f>LEN(O258) - LEN(SUBSTITUTE(O258, ";", ""))+1</f>
        <v>1</v>
      </c>
      <c r="O258" s="9" t="s">
        <v>257</v>
      </c>
      <c r="P258" s="9" t="s">
        <v>39</v>
      </c>
      <c r="Q258" s="9" t="s">
        <v>258</v>
      </c>
      <c r="R258" s="9" t="s">
        <v>17</v>
      </c>
      <c r="S258" s="9" t="s">
        <v>1828</v>
      </c>
      <c r="W258" s="23"/>
    </row>
    <row r="259" spans="1:23" ht="51.5" customHeight="1" x14ac:dyDescent="0.35">
      <c r="A259" s="9" t="s">
        <v>1659</v>
      </c>
      <c r="B259" s="9" t="s">
        <v>503</v>
      </c>
      <c r="C259" s="9" t="s">
        <v>576</v>
      </c>
      <c r="D259" s="9" t="str">
        <f>B259&amp;" - "&amp;C259</f>
        <v>Management processes - Financial performance</v>
      </c>
      <c r="E259" s="9" t="s">
        <v>8</v>
      </c>
      <c r="G259" s="9" t="s">
        <v>1090</v>
      </c>
      <c r="H259" s="9" t="str">
        <f>IF(E259="x","Economic - "&amp;G259,"Environmental - "&amp;G259)</f>
        <v>Economic - Other</v>
      </c>
      <c r="I259" s="12" t="s">
        <v>1185</v>
      </c>
      <c r="J259" s="9" t="s">
        <v>1186</v>
      </c>
      <c r="K259" s="9" t="s">
        <v>10</v>
      </c>
      <c r="L259" s="9" t="s">
        <v>16</v>
      </c>
      <c r="M259" s="9" t="s">
        <v>468</v>
      </c>
      <c r="N259" s="9">
        <f>LEN(O259) - LEN(SUBSTITUTE(O259, ";", ""))+1</f>
        <v>1</v>
      </c>
      <c r="O259" s="9" t="s">
        <v>257</v>
      </c>
      <c r="P259" s="9" t="s">
        <v>39</v>
      </c>
      <c r="Q259" s="9" t="s">
        <v>258</v>
      </c>
      <c r="R259" s="9" t="s">
        <v>17</v>
      </c>
      <c r="S259" s="9" t="s">
        <v>1828</v>
      </c>
      <c r="W259" s="23"/>
    </row>
    <row r="260" spans="1:23" ht="51.5" customHeight="1" x14ac:dyDescent="0.35">
      <c r="A260" s="9" t="s">
        <v>1660</v>
      </c>
      <c r="B260" s="9" t="s">
        <v>503</v>
      </c>
      <c r="C260" s="9" t="s">
        <v>576</v>
      </c>
      <c r="D260" s="9" t="str">
        <f>B260&amp;" - "&amp;C260</f>
        <v>Management processes - Financial performance</v>
      </c>
      <c r="E260" s="9" t="s">
        <v>8</v>
      </c>
      <c r="G260" s="9" t="s">
        <v>1090</v>
      </c>
      <c r="H260" s="9" t="str">
        <f>IF(E260="x","Economic - "&amp;G260,"Environmental - "&amp;G260)</f>
        <v>Economic - Other</v>
      </c>
      <c r="I260" s="12" t="s">
        <v>680</v>
      </c>
      <c r="J260" s="9" t="s">
        <v>681</v>
      </c>
      <c r="K260" s="9" t="s">
        <v>10</v>
      </c>
      <c r="L260" s="9" t="s">
        <v>57</v>
      </c>
      <c r="M260" s="9" t="s">
        <v>468</v>
      </c>
      <c r="N260" s="9">
        <f>LEN(O260) - LEN(SUBSTITUTE(O260, ";", ""))+1</f>
        <v>1</v>
      </c>
      <c r="O260" s="9" t="s">
        <v>458</v>
      </c>
      <c r="P260" s="9" t="s">
        <v>39</v>
      </c>
      <c r="Q260" s="9" t="s">
        <v>2119</v>
      </c>
      <c r="R260" s="9" t="s">
        <v>17</v>
      </c>
      <c r="S260" s="9" t="s">
        <v>1828</v>
      </c>
      <c r="W260" s="23"/>
    </row>
    <row r="261" spans="1:23" ht="51.5" customHeight="1" x14ac:dyDescent="0.35">
      <c r="A261" s="9" t="s">
        <v>1661</v>
      </c>
      <c r="B261" s="9" t="s">
        <v>503</v>
      </c>
      <c r="C261" s="9" t="s">
        <v>576</v>
      </c>
      <c r="D261" s="9" t="str">
        <f>B261&amp;" - "&amp;C261</f>
        <v>Management processes - Financial performance</v>
      </c>
      <c r="E261" s="9" t="s">
        <v>8</v>
      </c>
      <c r="G261" s="9" t="s">
        <v>1086</v>
      </c>
      <c r="H261" s="9" t="str">
        <f>IF(E261="x","Economic - "&amp;G261,"Environmental - "&amp;G261)</f>
        <v>Economic - Cost</v>
      </c>
      <c r="I261" s="12" t="s">
        <v>682</v>
      </c>
      <c r="J261" s="9" t="s">
        <v>683</v>
      </c>
      <c r="K261" s="9" t="s">
        <v>10</v>
      </c>
      <c r="L261" s="9" t="s">
        <v>19</v>
      </c>
      <c r="M261" s="9" t="s">
        <v>2147</v>
      </c>
      <c r="N261" s="9">
        <f>LEN(O261) - LEN(SUBSTITUTE(O261, ";", ""))+1</f>
        <v>6</v>
      </c>
      <c r="O261" s="9" t="s">
        <v>684</v>
      </c>
      <c r="P261" s="9" t="s">
        <v>74</v>
      </c>
      <c r="Q261" s="9" t="s">
        <v>2097</v>
      </c>
      <c r="R261" s="9" t="s">
        <v>1286</v>
      </c>
      <c r="S261" s="9" t="s">
        <v>1823</v>
      </c>
      <c r="W261" s="23"/>
    </row>
    <row r="262" spans="1:23" ht="51.5" customHeight="1" x14ac:dyDescent="0.35">
      <c r="A262" s="9" t="s">
        <v>1662</v>
      </c>
      <c r="B262" s="9" t="s">
        <v>503</v>
      </c>
      <c r="C262" s="9" t="s">
        <v>576</v>
      </c>
      <c r="D262" s="9" t="str">
        <f>B262&amp;" - "&amp;C262</f>
        <v>Management processes - Financial performance</v>
      </c>
      <c r="F262" s="9" t="s">
        <v>8</v>
      </c>
      <c r="G262" s="9" t="s">
        <v>1090</v>
      </c>
      <c r="H262" s="9" t="str">
        <f>IF(E262="x","Economic - "&amp;G262,"Environmental - "&amp;G262)</f>
        <v>Environmental - Other</v>
      </c>
      <c r="I262" s="12" t="s">
        <v>685</v>
      </c>
      <c r="J262" s="9" t="s">
        <v>686</v>
      </c>
      <c r="K262" s="9" t="s">
        <v>10</v>
      </c>
      <c r="L262" s="9" t="s">
        <v>16</v>
      </c>
      <c r="M262" s="9" t="s">
        <v>468</v>
      </c>
      <c r="N262" s="9">
        <f>LEN(O262) - LEN(SUBSTITUTE(O262, ";", ""))+1</f>
        <v>1</v>
      </c>
      <c r="O262" s="9" t="s">
        <v>177</v>
      </c>
      <c r="P262" s="9" t="s">
        <v>74</v>
      </c>
      <c r="Q262" s="9" t="s">
        <v>17</v>
      </c>
      <c r="R262" s="9" t="s">
        <v>17</v>
      </c>
      <c r="S262" s="9" t="s">
        <v>17</v>
      </c>
      <c r="W262" s="23"/>
    </row>
    <row r="263" spans="1:23" ht="51.5" customHeight="1" x14ac:dyDescent="0.35">
      <c r="A263" s="9" t="s">
        <v>1663</v>
      </c>
      <c r="B263" s="9" t="s">
        <v>503</v>
      </c>
      <c r="C263" s="9" t="s">
        <v>576</v>
      </c>
      <c r="D263" s="9" t="str">
        <f>B263&amp;" - "&amp;C263</f>
        <v>Management processes - Financial performance</v>
      </c>
      <c r="F263" s="9" t="s">
        <v>8</v>
      </c>
      <c r="G263" s="9" t="s">
        <v>1090</v>
      </c>
      <c r="H263" s="9" t="str">
        <f>IF(E263="x","Economic - "&amp;G263,"Environmental - "&amp;G263)</f>
        <v>Environmental - Other</v>
      </c>
      <c r="I263" s="12" t="s">
        <v>687</v>
      </c>
      <c r="J263" s="9" t="s">
        <v>688</v>
      </c>
      <c r="K263" s="9" t="s">
        <v>10</v>
      </c>
      <c r="L263" s="9" t="s">
        <v>19</v>
      </c>
      <c r="M263" s="9" t="s">
        <v>468</v>
      </c>
      <c r="N263" s="9">
        <f>LEN(O263) - LEN(SUBSTITUTE(O263, ";", ""))+1</f>
        <v>1</v>
      </c>
      <c r="O263" s="9" t="s">
        <v>177</v>
      </c>
      <c r="P263" s="9" t="s">
        <v>74</v>
      </c>
      <c r="Q263" s="9" t="s">
        <v>17</v>
      </c>
      <c r="R263" s="9" t="s">
        <v>17</v>
      </c>
      <c r="S263" s="9" t="s">
        <v>17</v>
      </c>
      <c r="W263" s="23"/>
    </row>
    <row r="264" spans="1:23" ht="51.5" customHeight="1" x14ac:dyDescent="0.35">
      <c r="A264" s="9" t="s">
        <v>1664</v>
      </c>
      <c r="B264" s="9" t="s">
        <v>503</v>
      </c>
      <c r="C264" s="9" t="s">
        <v>576</v>
      </c>
      <c r="D264" s="9" t="str">
        <f>B264&amp;" - "&amp;C264</f>
        <v>Management processes - Financial performance</v>
      </c>
      <c r="F264" s="9" t="s">
        <v>8</v>
      </c>
      <c r="G264" s="9" t="s">
        <v>1090</v>
      </c>
      <c r="H264" s="9" t="str">
        <f>IF(E264="x","Economic - "&amp;G264,"Environmental - "&amp;G264)</f>
        <v>Environmental - Other</v>
      </c>
      <c r="I264" s="12" t="s">
        <v>689</v>
      </c>
      <c r="J264" s="9" t="s">
        <v>690</v>
      </c>
      <c r="K264" s="9" t="s">
        <v>10</v>
      </c>
      <c r="L264" s="9" t="s">
        <v>19</v>
      </c>
      <c r="M264" s="9" t="s">
        <v>468</v>
      </c>
      <c r="N264" s="9">
        <f>LEN(O264) - LEN(SUBSTITUTE(O264, ";", ""))+1</f>
        <v>1</v>
      </c>
      <c r="O264" s="9" t="s">
        <v>177</v>
      </c>
      <c r="P264" s="9" t="s">
        <v>74</v>
      </c>
      <c r="Q264" s="9" t="s">
        <v>17</v>
      </c>
      <c r="R264" s="9" t="s">
        <v>17</v>
      </c>
      <c r="S264" s="9" t="s">
        <v>17</v>
      </c>
      <c r="W264" s="23"/>
    </row>
    <row r="265" spans="1:23" ht="51.5" customHeight="1" x14ac:dyDescent="0.35">
      <c r="A265" s="9" t="s">
        <v>1665</v>
      </c>
      <c r="B265" s="9" t="s">
        <v>503</v>
      </c>
      <c r="C265" s="9" t="s">
        <v>576</v>
      </c>
      <c r="D265" s="9" t="str">
        <f>B265&amp;" - "&amp;C265</f>
        <v>Management processes - Financial performance</v>
      </c>
      <c r="E265" s="9" t="s">
        <v>8</v>
      </c>
      <c r="G265" s="9" t="s">
        <v>1090</v>
      </c>
      <c r="H265" s="9" t="str">
        <f>IF(E265="x","Economic - "&amp;G265,"Environmental - "&amp;G265)</f>
        <v>Economic - Other</v>
      </c>
      <c r="I265" s="12" t="s">
        <v>623</v>
      </c>
      <c r="J265" s="9" t="s">
        <v>1081</v>
      </c>
      <c r="K265" s="9" t="s">
        <v>10</v>
      </c>
      <c r="L265" s="9" t="s">
        <v>19</v>
      </c>
      <c r="M265" s="9" t="s">
        <v>624</v>
      </c>
      <c r="N265" s="9">
        <f>LEN(O265) - LEN(SUBSTITUTE(O265, ";", ""))+1</f>
        <v>2</v>
      </c>
      <c r="O265" s="9" t="s">
        <v>2088</v>
      </c>
      <c r="P265" s="9" t="s">
        <v>65</v>
      </c>
      <c r="Q265" s="9" t="s">
        <v>1310</v>
      </c>
      <c r="R265" s="9" t="s">
        <v>1328</v>
      </c>
      <c r="S265" s="9" t="s">
        <v>1824</v>
      </c>
      <c r="W265" s="23"/>
    </row>
    <row r="266" spans="1:23" ht="51.5" customHeight="1" x14ac:dyDescent="0.35">
      <c r="A266" s="9" t="s">
        <v>1666</v>
      </c>
      <c r="B266" s="9" t="s">
        <v>503</v>
      </c>
      <c r="C266" s="9" t="s">
        <v>691</v>
      </c>
      <c r="D266" s="9" t="str">
        <f>B266&amp;" - "&amp;C266</f>
        <v>Management processes - Community relations</v>
      </c>
      <c r="F266" s="9" t="s">
        <v>8</v>
      </c>
      <c r="G266" s="9" t="s">
        <v>1090</v>
      </c>
      <c r="H266" s="9" t="str">
        <f>IF(E266="x","Economic - "&amp;G266,"Environmental - "&amp;G266)</f>
        <v>Environmental - Other</v>
      </c>
      <c r="I266" s="12" t="s">
        <v>692</v>
      </c>
      <c r="J266" s="9" t="s">
        <v>1141</v>
      </c>
      <c r="K266" s="9" t="s">
        <v>342</v>
      </c>
      <c r="L266" s="9" t="s">
        <v>343</v>
      </c>
      <c r="M266" s="9" t="s">
        <v>468</v>
      </c>
      <c r="N266" s="9">
        <f>LEN(O266) - LEN(SUBSTITUTE(O266, ";", ""))+1</f>
        <v>2</v>
      </c>
      <c r="O266" s="9" t="s">
        <v>693</v>
      </c>
      <c r="P266" s="9" t="s">
        <v>74</v>
      </c>
      <c r="Q266" s="9" t="s">
        <v>17</v>
      </c>
      <c r="R266" s="9" t="s">
        <v>17</v>
      </c>
      <c r="S266" s="9" t="s">
        <v>17</v>
      </c>
      <c r="W266" s="23"/>
    </row>
    <row r="267" spans="1:23" ht="51.5" customHeight="1" x14ac:dyDescent="0.35">
      <c r="A267" s="9" t="s">
        <v>1667</v>
      </c>
      <c r="B267" s="9" t="s">
        <v>503</v>
      </c>
      <c r="C267" s="9" t="s">
        <v>691</v>
      </c>
      <c r="D267" s="9" t="str">
        <f>B267&amp;" - "&amp;C267</f>
        <v>Management processes - Community relations</v>
      </c>
      <c r="F267" s="9" t="s">
        <v>8</v>
      </c>
      <c r="G267" s="9" t="s">
        <v>1089</v>
      </c>
      <c r="H267" s="9" t="str">
        <f>IF(E267="x","Economic - "&amp;G267,"Environmental - "&amp;G267)</f>
        <v>Environmental - Biodiversity &amp; Ecosystems</v>
      </c>
      <c r="I267" s="12" t="s">
        <v>694</v>
      </c>
      <c r="J267" s="9" t="s">
        <v>695</v>
      </c>
      <c r="K267" s="9" t="s">
        <v>10</v>
      </c>
      <c r="L267" s="9" t="s">
        <v>57</v>
      </c>
      <c r="M267" s="9" t="s">
        <v>468</v>
      </c>
      <c r="N267" s="9">
        <f>LEN(O267) - LEN(SUBSTITUTE(O267, ";", ""))+1</f>
        <v>1</v>
      </c>
      <c r="O267" s="9" t="s">
        <v>177</v>
      </c>
      <c r="P267" s="9" t="s">
        <v>74</v>
      </c>
      <c r="Q267" s="9" t="s">
        <v>17</v>
      </c>
      <c r="R267" s="9" t="s">
        <v>17</v>
      </c>
      <c r="S267" s="9" t="s">
        <v>17</v>
      </c>
      <c r="W267" s="23"/>
    </row>
    <row r="268" spans="1:23" ht="51.5" customHeight="1" x14ac:dyDescent="0.35">
      <c r="A268" s="9" t="s">
        <v>1668</v>
      </c>
      <c r="B268" s="9" t="s">
        <v>503</v>
      </c>
      <c r="C268" s="9" t="s">
        <v>691</v>
      </c>
      <c r="D268" s="9" t="str">
        <f>B268&amp;" - "&amp;C268</f>
        <v>Management processes - Community relations</v>
      </c>
      <c r="E268" s="9" t="s">
        <v>8</v>
      </c>
      <c r="G268" s="9" t="s">
        <v>518</v>
      </c>
      <c r="H268" s="9" t="str">
        <f>IF(E268="x","Economic - "&amp;G268,"Environmental - "&amp;G268)</f>
        <v>Economic - Investments</v>
      </c>
      <c r="I268" s="12" t="s">
        <v>696</v>
      </c>
      <c r="J268" s="9" t="s">
        <v>1121</v>
      </c>
      <c r="K268" s="9" t="s">
        <v>10</v>
      </c>
      <c r="L268" s="9" t="s">
        <v>19</v>
      </c>
      <c r="M268" s="9" t="s">
        <v>697</v>
      </c>
      <c r="N268" s="9">
        <f>LEN(O268) - LEN(SUBSTITUTE(O268, ";", ""))+1</f>
        <v>2</v>
      </c>
      <c r="O268" s="9" t="s">
        <v>2003</v>
      </c>
      <c r="P268" s="9" t="s">
        <v>65</v>
      </c>
      <c r="Q268" s="9" t="s">
        <v>2102</v>
      </c>
      <c r="R268" s="9" t="s">
        <v>1328</v>
      </c>
      <c r="S268" s="9" t="s">
        <v>1826</v>
      </c>
      <c r="W268" s="23"/>
    </row>
    <row r="269" spans="1:23" ht="51.5" customHeight="1" x14ac:dyDescent="0.35">
      <c r="A269" s="9" t="s">
        <v>1669</v>
      </c>
      <c r="B269" s="9" t="s">
        <v>503</v>
      </c>
      <c r="C269" s="9" t="s">
        <v>691</v>
      </c>
      <c r="D269" s="9" t="str">
        <f>B269&amp;" - "&amp;C269</f>
        <v>Management processes - Community relations</v>
      </c>
      <c r="F269" s="9" t="s">
        <v>8</v>
      </c>
      <c r="G269" s="9" t="s">
        <v>1090</v>
      </c>
      <c r="H269" s="9" t="str">
        <f>IF(E269="x","Economic - "&amp;G269,"Environmental - "&amp;G269)</f>
        <v>Environmental - Other</v>
      </c>
      <c r="I269" s="12" t="s">
        <v>698</v>
      </c>
      <c r="J269" s="9" t="s">
        <v>699</v>
      </c>
      <c r="K269" s="9" t="s">
        <v>10</v>
      </c>
      <c r="L269" s="9" t="s">
        <v>19</v>
      </c>
      <c r="M269" s="9" t="s">
        <v>468</v>
      </c>
      <c r="N269" s="9">
        <f>LEN(O269) - LEN(SUBSTITUTE(O269, ";", ""))+1</f>
        <v>1</v>
      </c>
      <c r="O269" s="9" t="s">
        <v>177</v>
      </c>
      <c r="P269" s="9" t="s">
        <v>74</v>
      </c>
      <c r="Q269" s="9" t="s">
        <v>17</v>
      </c>
      <c r="R269" s="9" t="s">
        <v>17</v>
      </c>
      <c r="S269" s="9" t="s">
        <v>17</v>
      </c>
      <c r="W269" s="23"/>
    </row>
    <row r="270" spans="1:23" ht="51.5" customHeight="1" x14ac:dyDescent="0.35">
      <c r="A270" s="9" t="s">
        <v>1670</v>
      </c>
      <c r="B270" s="9" t="s">
        <v>503</v>
      </c>
      <c r="C270" s="9" t="s">
        <v>691</v>
      </c>
      <c r="D270" s="9" t="str">
        <f>B270&amp;" - "&amp;C270</f>
        <v>Management processes - Community relations</v>
      </c>
      <c r="E270" s="9" t="s">
        <v>8</v>
      </c>
      <c r="G270" s="9" t="s">
        <v>518</v>
      </c>
      <c r="H270" s="9" t="str">
        <f>IF(E270="x","Economic - "&amp;G270,"Environmental - "&amp;G270)</f>
        <v>Economic - Investments</v>
      </c>
      <c r="I270" s="12" t="s">
        <v>1142</v>
      </c>
      <c r="J270" s="9" t="s">
        <v>1143</v>
      </c>
      <c r="K270" s="9" t="s">
        <v>10</v>
      </c>
      <c r="L270" s="9" t="s">
        <v>19</v>
      </c>
      <c r="M270" s="9" t="s">
        <v>468</v>
      </c>
      <c r="N270" s="9">
        <f>LEN(O270) - LEN(SUBSTITUTE(O270, ";", ""))+1</f>
        <v>2</v>
      </c>
      <c r="O270" s="9" t="s">
        <v>700</v>
      </c>
      <c r="P270" s="9" t="s">
        <v>39</v>
      </c>
      <c r="Q270" s="9" t="s">
        <v>2102</v>
      </c>
      <c r="R270" s="9" t="s">
        <v>17</v>
      </c>
      <c r="S270" s="9" t="s">
        <v>1826</v>
      </c>
      <c r="W270" s="23"/>
    </row>
    <row r="271" spans="1:23" ht="51.5" customHeight="1" x14ac:dyDescent="0.35">
      <c r="A271" s="9" t="s">
        <v>1671</v>
      </c>
      <c r="B271" s="9" t="s">
        <v>503</v>
      </c>
      <c r="C271" s="9" t="s">
        <v>691</v>
      </c>
      <c r="D271" s="9" t="str">
        <f>B271&amp;" - "&amp;C271</f>
        <v>Management processes - Community relations</v>
      </c>
      <c r="F271" s="9" t="s">
        <v>8</v>
      </c>
      <c r="G271" s="9" t="s">
        <v>1090</v>
      </c>
      <c r="H271" s="9" t="str">
        <f>IF(E271="x","Economic - "&amp;G271,"Environmental - "&amp;G271)</f>
        <v>Environmental - Other</v>
      </c>
      <c r="I271" s="12" t="s">
        <v>701</v>
      </c>
      <c r="J271" s="9" t="s">
        <v>702</v>
      </c>
      <c r="K271" s="9" t="s">
        <v>10</v>
      </c>
      <c r="L271" s="9" t="s">
        <v>57</v>
      </c>
      <c r="M271" s="9" t="s">
        <v>468</v>
      </c>
      <c r="N271" s="9">
        <f>LEN(O271) - LEN(SUBSTITUTE(O271, ";", ""))+1</f>
        <v>1</v>
      </c>
      <c r="O271" s="9" t="s">
        <v>177</v>
      </c>
      <c r="P271" s="9" t="s">
        <v>74</v>
      </c>
      <c r="Q271" s="9" t="s">
        <v>17</v>
      </c>
      <c r="R271" s="9" t="s">
        <v>17</v>
      </c>
      <c r="S271" s="9" t="s">
        <v>17</v>
      </c>
      <c r="W271" s="23"/>
    </row>
    <row r="272" spans="1:23" ht="51.5" customHeight="1" x14ac:dyDescent="0.35">
      <c r="A272" s="9" t="s">
        <v>1672</v>
      </c>
      <c r="B272" s="9" t="s">
        <v>503</v>
      </c>
      <c r="C272" s="9" t="s">
        <v>691</v>
      </c>
      <c r="D272" s="9" t="str">
        <f>B272&amp;" - "&amp;C272</f>
        <v>Management processes - Community relations</v>
      </c>
      <c r="F272" s="9" t="s">
        <v>8</v>
      </c>
      <c r="G272" s="9" t="s">
        <v>1090</v>
      </c>
      <c r="H272" s="9" t="str">
        <f>IF(E272="x","Economic - "&amp;G272,"Environmental - "&amp;G272)</f>
        <v>Environmental - Other</v>
      </c>
      <c r="I272" s="12" t="s">
        <v>703</v>
      </c>
      <c r="J272" s="9" t="s">
        <v>704</v>
      </c>
      <c r="K272" s="9" t="s">
        <v>10</v>
      </c>
      <c r="L272" s="9" t="s">
        <v>57</v>
      </c>
      <c r="M272" s="9" t="s">
        <v>468</v>
      </c>
      <c r="N272" s="9">
        <f>LEN(O272) - LEN(SUBSTITUTE(O272, ";", ""))+1</f>
        <v>1</v>
      </c>
      <c r="O272" s="9" t="s">
        <v>177</v>
      </c>
      <c r="P272" s="9" t="s">
        <v>74</v>
      </c>
      <c r="Q272" s="9" t="s">
        <v>17</v>
      </c>
      <c r="R272" s="9" t="s">
        <v>17</v>
      </c>
      <c r="S272" s="9" t="s">
        <v>17</v>
      </c>
      <c r="W272" s="23"/>
    </row>
    <row r="273" spans="1:23" ht="51.5" customHeight="1" x14ac:dyDescent="0.35">
      <c r="A273" s="9" t="s">
        <v>1673</v>
      </c>
      <c r="B273" s="9" t="s">
        <v>503</v>
      </c>
      <c r="C273" s="9" t="s">
        <v>691</v>
      </c>
      <c r="D273" s="9" t="str">
        <f>B273&amp;" - "&amp;C273</f>
        <v>Management processes - Community relations</v>
      </c>
      <c r="F273" s="9" t="s">
        <v>8</v>
      </c>
      <c r="G273" s="9" t="s">
        <v>1090</v>
      </c>
      <c r="H273" s="9" t="str">
        <f>IF(E273="x","Economic - "&amp;G273,"Environmental - "&amp;G273)</f>
        <v>Environmental - Other</v>
      </c>
      <c r="I273" s="12" t="s">
        <v>705</v>
      </c>
      <c r="J273" s="9" t="s">
        <v>706</v>
      </c>
      <c r="K273" s="9" t="s">
        <v>10</v>
      </c>
      <c r="L273" s="9" t="s">
        <v>16</v>
      </c>
      <c r="M273" s="9" t="s">
        <v>468</v>
      </c>
      <c r="N273" s="9">
        <f>LEN(O273) - LEN(SUBSTITUTE(O273, ";", ""))+1</f>
        <v>1</v>
      </c>
      <c r="O273" s="9" t="s">
        <v>177</v>
      </c>
      <c r="P273" s="9" t="s">
        <v>74</v>
      </c>
      <c r="Q273" s="9" t="s">
        <v>17</v>
      </c>
      <c r="R273" s="9" t="s">
        <v>17</v>
      </c>
      <c r="S273" s="9" t="s">
        <v>17</v>
      </c>
      <c r="W273" s="23"/>
    </row>
    <row r="274" spans="1:23" ht="51.5" customHeight="1" x14ac:dyDescent="0.35">
      <c r="A274" s="9" t="s">
        <v>1506</v>
      </c>
      <c r="B274" s="9" t="s">
        <v>350</v>
      </c>
      <c r="C274" s="9" t="s">
        <v>351</v>
      </c>
      <c r="D274" s="9" t="str">
        <f>B274&amp;" - "&amp;C274</f>
        <v>Operational processes - Operational efficiency</v>
      </c>
      <c r="E274" s="9" t="s">
        <v>8</v>
      </c>
      <c r="G274" s="9" t="s">
        <v>1086</v>
      </c>
      <c r="H274" s="9" t="str">
        <f>IF(E274="x","Economic - "&amp;G274,"Environmental - "&amp;G274)</f>
        <v>Economic - Cost</v>
      </c>
      <c r="I274" s="12" t="s">
        <v>352</v>
      </c>
      <c r="J274" s="9" t="s">
        <v>1923</v>
      </c>
      <c r="K274" s="9" t="s">
        <v>10</v>
      </c>
      <c r="L274" s="9" t="s">
        <v>19</v>
      </c>
      <c r="M274" s="9" t="s">
        <v>468</v>
      </c>
      <c r="N274" s="9">
        <f>LEN(O274) - LEN(SUBSTITUTE(O274, ";", ""))+1</f>
        <v>9</v>
      </c>
      <c r="O274" s="9" t="s">
        <v>2002</v>
      </c>
      <c r="P274" s="9" t="s">
        <v>353</v>
      </c>
      <c r="Q274" s="9" t="s">
        <v>2128</v>
      </c>
      <c r="R274" s="9" t="s">
        <v>1351</v>
      </c>
      <c r="S274" s="9" t="s">
        <v>1826</v>
      </c>
      <c r="W274" s="23"/>
    </row>
    <row r="275" spans="1:23" ht="51.5" customHeight="1" x14ac:dyDescent="0.35">
      <c r="A275" s="9" t="s">
        <v>1507</v>
      </c>
      <c r="B275" s="9" t="s">
        <v>350</v>
      </c>
      <c r="C275" s="9" t="s">
        <v>351</v>
      </c>
      <c r="D275" s="9" t="str">
        <f>B275&amp;" - "&amp;C275</f>
        <v>Operational processes - Operational efficiency</v>
      </c>
      <c r="E275" s="9" t="s">
        <v>8</v>
      </c>
      <c r="G275" s="9" t="s">
        <v>1086</v>
      </c>
      <c r="H275" s="9" t="str">
        <f>IF(E275="x","Economic - "&amp;G275,"Environmental - "&amp;G275)</f>
        <v>Economic - Cost</v>
      </c>
      <c r="I275" s="12" t="s">
        <v>354</v>
      </c>
      <c r="J275" s="9" t="s">
        <v>1118</v>
      </c>
      <c r="K275" s="9" t="s">
        <v>10</v>
      </c>
      <c r="L275" s="9" t="s">
        <v>19</v>
      </c>
      <c r="M275" s="9" t="s">
        <v>468</v>
      </c>
      <c r="N275" s="9">
        <f>LEN(O275) - LEN(SUBSTITUTE(O275, ";", ""))+1</f>
        <v>3</v>
      </c>
      <c r="O275" s="9" t="s">
        <v>355</v>
      </c>
      <c r="P275" s="9" t="s">
        <v>69</v>
      </c>
      <c r="Q275" s="9" t="s">
        <v>1312</v>
      </c>
      <c r="R275" s="9" t="s">
        <v>1287</v>
      </c>
      <c r="S275" s="9" t="s">
        <v>17</v>
      </c>
      <c r="W275" s="23"/>
    </row>
    <row r="276" spans="1:23" ht="51.5" customHeight="1" x14ac:dyDescent="0.35">
      <c r="A276" s="9" t="s">
        <v>1508</v>
      </c>
      <c r="B276" s="9" t="s">
        <v>350</v>
      </c>
      <c r="C276" s="9" t="s">
        <v>351</v>
      </c>
      <c r="D276" s="9" t="str">
        <f>B276&amp;" - "&amp;C276</f>
        <v>Operational processes - Operational efficiency</v>
      </c>
      <c r="E276" s="9" t="s">
        <v>8</v>
      </c>
      <c r="G276" s="9" t="s">
        <v>1086</v>
      </c>
      <c r="H276" s="9" t="str">
        <f>IF(E276="x","Economic - "&amp;G276,"Environmental - "&amp;G276)</f>
        <v>Economic - Cost</v>
      </c>
      <c r="I276" s="12" t="s">
        <v>356</v>
      </c>
      <c r="J276" s="9" t="s">
        <v>357</v>
      </c>
      <c r="K276" s="9" t="s">
        <v>10</v>
      </c>
      <c r="L276" s="9" t="s">
        <v>19</v>
      </c>
      <c r="M276" s="9" t="s">
        <v>468</v>
      </c>
      <c r="N276" s="9">
        <f>LEN(O276) - LEN(SUBSTITUTE(O276, ";", ""))+1</f>
        <v>2</v>
      </c>
      <c r="O276" s="9" t="s">
        <v>358</v>
      </c>
      <c r="P276" s="9" t="s">
        <v>14</v>
      </c>
      <c r="Q276" s="9" t="s">
        <v>308</v>
      </c>
      <c r="R276" s="9" t="s">
        <v>1284</v>
      </c>
      <c r="S276" s="9" t="s">
        <v>1827</v>
      </c>
      <c r="W276" s="23"/>
    </row>
    <row r="277" spans="1:23" ht="51.5" customHeight="1" x14ac:dyDescent="0.35">
      <c r="A277" s="9" t="s">
        <v>1509</v>
      </c>
      <c r="B277" s="9" t="s">
        <v>350</v>
      </c>
      <c r="C277" s="9" t="s">
        <v>351</v>
      </c>
      <c r="D277" s="9" t="str">
        <f>B277&amp;" - "&amp;C277</f>
        <v>Operational processes - Operational efficiency</v>
      </c>
      <c r="E277" s="9" t="s">
        <v>8</v>
      </c>
      <c r="G277" s="9" t="s">
        <v>1086</v>
      </c>
      <c r="H277" s="9" t="str">
        <f>IF(E277="x","Economic - "&amp;G277,"Environmental - "&amp;G277)</f>
        <v>Economic - Cost</v>
      </c>
      <c r="I277" s="12" t="s">
        <v>359</v>
      </c>
      <c r="J277" s="9" t="s">
        <v>1130</v>
      </c>
      <c r="K277" s="9" t="s">
        <v>10</v>
      </c>
      <c r="L277" s="9" t="s">
        <v>19</v>
      </c>
      <c r="M277" s="9" t="s">
        <v>468</v>
      </c>
      <c r="N277" s="9">
        <f>LEN(O277) - LEN(SUBSTITUTE(O277, ";", ""))+1</f>
        <v>2</v>
      </c>
      <c r="O277" s="9" t="s">
        <v>360</v>
      </c>
      <c r="P277" s="9" t="s">
        <v>39</v>
      </c>
      <c r="Q277" s="9" t="s">
        <v>305</v>
      </c>
      <c r="R277" s="9" t="s">
        <v>17</v>
      </c>
      <c r="S277" s="9" t="s">
        <v>1827</v>
      </c>
      <c r="W277" s="23"/>
    </row>
    <row r="278" spans="1:23" ht="51.5" customHeight="1" x14ac:dyDescent="0.35">
      <c r="A278" s="9" t="s">
        <v>1510</v>
      </c>
      <c r="B278" s="9" t="s">
        <v>350</v>
      </c>
      <c r="C278" s="9" t="s">
        <v>351</v>
      </c>
      <c r="D278" s="9" t="str">
        <f>B278&amp;" - "&amp;C278</f>
        <v>Operational processes - Operational efficiency</v>
      </c>
      <c r="E278" s="9" t="s">
        <v>8</v>
      </c>
      <c r="G278" s="9" t="s">
        <v>1086</v>
      </c>
      <c r="H278" s="9" t="str">
        <f>IF(E278="x","Economic - "&amp;G278,"Environmental - "&amp;G278)</f>
        <v>Economic - Cost</v>
      </c>
      <c r="I278" s="12" t="s">
        <v>361</v>
      </c>
      <c r="J278" s="9" t="s">
        <v>362</v>
      </c>
      <c r="K278" s="9" t="s">
        <v>10</v>
      </c>
      <c r="L278" s="9" t="s">
        <v>19</v>
      </c>
      <c r="M278" s="9" t="s">
        <v>468</v>
      </c>
      <c r="N278" s="9">
        <f>LEN(O278) - LEN(SUBSTITUTE(O278, ";", ""))+1</f>
        <v>1</v>
      </c>
      <c r="O278" s="9" t="s">
        <v>38</v>
      </c>
      <c r="P278" s="9" t="s">
        <v>39</v>
      </c>
      <c r="Q278" s="9" t="s">
        <v>40</v>
      </c>
      <c r="R278" s="9" t="s">
        <v>17</v>
      </c>
      <c r="S278" s="9" t="s">
        <v>1825</v>
      </c>
      <c r="W278" s="23"/>
    </row>
    <row r="279" spans="1:23" ht="51.5" customHeight="1" x14ac:dyDescent="0.35">
      <c r="A279" s="9" t="s">
        <v>1511</v>
      </c>
      <c r="B279" s="9" t="s">
        <v>350</v>
      </c>
      <c r="C279" s="9" t="s">
        <v>351</v>
      </c>
      <c r="D279" s="9" t="str">
        <f>B279&amp;" - "&amp;C279</f>
        <v>Operational processes - Operational efficiency</v>
      </c>
      <c r="E279" s="9" t="s">
        <v>8</v>
      </c>
      <c r="G279" s="9" t="s">
        <v>1086</v>
      </c>
      <c r="H279" s="9" t="str">
        <f>IF(E279="x","Economic - "&amp;G279,"Environmental - "&amp;G279)</f>
        <v>Economic - Cost</v>
      </c>
      <c r="I279" s="12" t="s">
        <v>363</v>
      </c>
      <c r="J279" s="9" t="s">
        <v>364</v>
      </c>
      <c r="K279" s="9" t="s">
        <v>10</v>
      </c>
      <c r="L279" s="9" t="s">
        <v>19</v>
      </c>
      <c r="M279" s="9" t="s">
        <v>468</v>
      </c>
      <c r="N279" s="9">
        <f>LEN(O279) - LEN(SUBSTITUTE(O279, ";", ""))+1</f>
        <v>2</v>
      </c>
      <c r="O279" s="9" t="s">
        <v>365</v>
      </c>
      <c r="P279" s="9" t="s">
        <v>39</v>
      </c>
      <c r="Q279" s="9" t="s">
        <v>2124</v>
      </c>
      <c r="R279" s="9" t="s">
        <v>17</v>
      </c>
      <c r="S279" s="9" t="s">
        <v>1826</v>
      </c>
      <c r="W279" s="23"/>
    </row>
    <row r="280" spans="1:23" ht="51.5" customHeight="1" x14ac:dyDescent="0.35">
      <c r="A280" s="9" t="s">
        <v>1512</v>
      </c>
      <c r="B280" s="9" t="s">
        <v>350</v>
      </c>
      <c r="C280" s="9" t="s">
        <v>351</v>
      </c>
      <c r="D280" s="9" t="str">
        <f>B280&amp;" - "&amp;C280</f>
        <v>Operational processes - Operational efficiency</v>
      </c>
      <c r="E280" s="9" t="s">
        <v>8</v>
      </c>
      <c r="G280" s="9" t="s">
        <v>1090</v>
      </c>
      <c r="H280" s="9" t="str">
        <f>IF(E280="x","Economic - "&amp;G280,"Environmental - "&amp;G280)</f>
        <v>Economic - Other</v>
      </c>
      <c r="I280" s="12" t="s">
        <v>366</v>
      </c>
      <c r="J280" s="9" t="s">
        <v>367</v>
      </c>
      <c r="K280" s="9" t="s">
        <v>10</v>
      </c>
      <c r="L280" s="9" t="s">
        <v>1273</v>
      </c>
      <c r="M280" s="9" t="s">
        <v>468</v>
      </c>
      <c r="N280" s="9">
        <f>LEN(O280) - LEN(SUBSTITUTE(O280, ";", ""))+1</f>
        <v>1</v>
      </c>
      <c r="O280" s="9" t="s">
        <v>368</v>
      </c>
      <c r="P280" s="9" t="s">
        <v>316</v>
      </c>
      <c r="Q280" s="9" t="s">
        <v>17</v>
      </c>
      <c r="R280" s="9" t="s">
        <v>85</v>
      </c>
      <c r="S280" s="9" t="s">
        <v>17</v>
      </c>
      <c r="W280" s="23"/>
    </row>
    <row r="281" spans="1:23" ht="51.5" customHeight="1" x14ac:dyDescent="0.35">
      <c r="A281" s="9" t="s">
        <v>1513</v>
      </c>
      <c r="B281" s="9" t="s">
        <v>350</v>
      </c>
      <c r="C281" s="9" t="s">
        <v>351</v>
      </c>
      <c r="D281" s="9" t="str">
        <f>B281&amp;" - "&amp;C281</f>
        <v>Operational processes - Operational efficiency</v>
      </c>
      <c r="E281" s="9" t="s">
        <v>8</v>
      </c>
      <c r="G281" s="9" t="s">
        <v>1090</v>
      </c>
      <c r="H281" s="9" t="str">
        <f>IF(E281="x","Economic - "&amp;G281,"Environmental - "&amp;G281)</f>
        <v>Economic - Other</v>
      </c>
      <c r="I281" s="12" t="s">
        <v>369</v>
      </c>
      <c r="J281" s="9" t="s">
        <v>370</v>
      </c>
      <c r="K281" s="9" t="s">
        <v>10</v>
      </c>
      <c r="L281" s="9" t="s">
        <v>1273</v>
      </c>
      <c r="M281" s="9" t="s">
        <v>468</v>
      </c>
      <c r="N281" s="9">
        <f>LEN(O281) - LEN(SUBSTITUTE(O281, ";", ""))+1</f>
        <v>5</v>
      </c>
      <c r="O281" s="9" t="s">
        <v>1984</v>
      </c>
      <c r="P281" s="9" t="s">
        <v>65</v>
      </c>
      <c r="Q281" s="9" t="s">
        <v>1323</v>
      </c>
      <c r="R281" s="9" t="s">
        <v>1289</v>
      </c>
      <c r="S281" s="9" t="s">
        <v>17</v>
      </c>
      <c r="W281" s="23"/>
    </row>
    <row r="282" spans="1:23" ht="51.5" customHeight="1" x14ac:dyDescent="0.35">
      <c r="A282" s="9" t="s">
        <v>1514</v>
      </c>
      <c r="B282" s="9" t="s">
        <v>350</v>
      </c>
      <c r="C282" s="9" t="s">
        <v>351</v>
      </c>
      <c r="D282" s="9" t="str">
        <f>B282&amp;" - "&amp;C282</f>
        <v>Operational processes - Operational efficiency</v>
      </c>
      <c r="E282" s="9" t="s">
        <v>8</v>
      </c>
      <c r="G282" s="9" t="s">
        <v>1090</v>
      </c>
      <c r="H282" s="9" t="str">
        <f>IF(E282="x","Economic - "&amp;G282,"Environmental - "&amp;G282)</f>
        <v>Economic - Other</v>
      </c>
      <c r="I282" s="12" t="s">
        <v>371</v>
      </c>
      <c r="J282" s="9" t="s">
        <v>372</v>
      </c>
      <c r="K282" s="9" t="s">
        <v>10</v>
      </c>
      <c r="L282" s="9" t="s">
        <v>1273</v>
      </c>
      <c r="M282" s="9" t="s">
        <v>468</v>
      </c>
      <c r="N282" s="9">
        <f>LEN(O282) - LEN(SUBSTITUTE(O282, ";", ""))+1</f>
        <v>2</v>
      </c>
      <c r="O282" s="9" t="s">
        <v>373</v>
      </c>
      <c r="P282" s="9" t="s">
        <v>84</v>
      </c>
      <c r="Q282" s="9" t="s">
        <v>17</v>
      </c>
      <c r="R282" s="9" t="s">
        <v>146</v>
      </c>
      <c r="S282" s="9" t="s">
        <v>17</v>
      </c>
      <c r="W282" s="23"/>
    </row>
    <row r="283" spans="1:23" ht="51.5" customHeight="1" x14ac:dyDescent="0.35">
      <c r="A283" s="9" t="s">
        <v>1515</v>
      </c>
      <c r="B283" s="9" t="s">
        <v>350</v>
      </c>
      <c r="C283" s="9" t="s">
        <v>351</v>
      </c>
      <c r="D283" s="9" t="str">
        <f>B283&amp;" - "&amp;C283</f>
        <v>Operational processes - Operational efficiency</v>
      </c>
      <c r="E283" s="9" t="s">
        <v>8</v>
      </c>
      <c r="G283" s="9" t="s">
        <v>1090</v>
      </c>
      <c r="H283" s="9" t="str">
        <f>IF(E283="x","Economic - "&amp;G283,"Environmental - "&amp;G283)</f>
        <v>Economic - Other</v>
      </c>
      <c r="I283" s="12" t="s">
        <v>374</v>
      </c>
      <c r="J283" s="9" t="s">
        <v>375</v>
      </c>
      <c r="K283" s="9" t="s">
        <v>10</v>
      </c>
      <c r="L283" s="9" t="s">
        <v>1273</v>
      </c>
      <c r="M283" s="9" t="s">
        <v>468</v>
      </c>
      <c r="N283" s="9">
        <f>LEN(O283) - LEN(SUBSTITUTE(O283, ";", ""))+1</f>
        <v>1</v>
      </c>
      <c r="O283" s="9" t="s">
        <v>92</v>
      </c>
      <c r="P283" s="9" t="s">
        <v>84</v>
      </c>
      <c r="Q283" s="9" t="s">
        <v>17</v>
      </c>
      <c r="R283" s="9" t="s">
        <v>93</v>
      </c>
      <c r="S283" s="9" t="s">
        <v>17</v>
      </c>
      <c r="W283" s="23"/>
    </row>
    <row r="284" spans="1:23" ht="51.5" customHeight="1" x14ac:dyDescent="0.35">
      <c r="A284" s="9" t="s">
        <v>1516</v>
      </c>
      <c r="B284" s="9" t="s">
        <v>350</v>
      </c>
      <c r="C284" s="9" t="s">
        <v>351</v>
      </c>
      <c r="D284" s="9" t="str">
        <f>B284&amp;" - "&amp;C284</f>
        <v>Operational processes - Operational efficiency</v>
      </c>
      <c r="E284" s="9" t="s">
        <v>8</v>
      </c>
      <c r="G284" s="9" t="s">
        <v>1090</v>
      </c>
      <c r="H284" s="9" t="str">
        <f>IF(E284="x","Economic - "&amp;G284,"Environmental - "&amp;G284)</f>
        <v>Economic - Other</v>
      </c>
      <c r="I284" s="12" t="s">
        <v>376</v>
      </c>
      <c r="J284" s="9" t="s">
        <v>377</v>
      </c>
      <c r="K284" s="9" t="s">
        <v>10</v>
      </c>
      <c r="L284" s="9" t="s">
        <v>1273</v>
      </c>
      <c r="M284" s="9" t="s">
        <v>468</v>
      </c>
      <c r="N284" s="9">
        <f>LEN(O284) - LEN(SUBSTITUTE(O284, ";", ""))+1</f>
        <v>1</v>
      </c>
      <c r="O284" s="9" t="s">
        <v>303</v>
      </c>
      <c r="P284" s="9" t="s">
        <v>84</v>
      </c>
      <c r="Q284" s="9" t="s">
        <v>17</v>
      </c>
      <c r="R284" s="9" t="s">
        <v>17</v>
      </c>
      <c r="S284" s="9" t="s">
        <v>17</v>
      </c>
      <c r="W284" s="23"/>
    </row>
    <row r="285" spans="1:23" ht="51.5" customHeight="1" x14ac:dyDescent="0.35">
      <c r="A285" s="9" t="s">
        <v>1517</v>
      </c>
      <c r="B285" s="9" t="s">
        <v>350</v>
      </c>
      <c r="C285" s="9" t="s">
        <v>351</v>
      </c>
      <c r="D285" s="9" t="str">
        <f>B285&amp;" - "&amp;C285</f>
        <v>Operational processes - Operational efficiency</v>
      </c>
      <c r="E285" s="9" t="s">
        <v>8</v>
      </c>
      <c r="G285" s="9" t="s">
        <v>1090</v>
      </c>
      <c r="H285" s="9" t="str">
        <f>IF(E285="x","Economic - "&amp;G285,"Environmental - "&amp;G285)</f>
        <v>Economic - Other</v>
      </c>
      <c r="I285" s="12" t="s">
        <v>378</v>
      </c>
      <c r="J285" s="9" t="s">
        <v>379</v>
      </c>
      <c r="K285" s="9" t="s">
        <v>10</v>
      </c>
      <c r="L285" s="9" t="s">
        <v>1273</v>
      </c>
      <c r="M285" s="9" t="s">
        <v>468</v>
      </c>
      <c r="N285" s="9">
        <f>LEN(O285) - LEN(SUBSTITUTE(O285, ";", ""))+1</f>
        <v>1</v>
      </c>
      <c r="O285" s="9" t="s">
        <v>303</v>
      </c>
      <c r="P285" s="9" t="s">
        <v>84</v>
      </c>
      <c r="Q285" s="9" t="s">
        <v>17</v>
      </c>
      <c r="R285" s="9" t="s">
        <v>17</v>
      </c>
      <c r="S285" s="9" t="s">
        <v>17</v>
      </c>
      <c r="W285" s="23"/>
    </row>
    <row r="286" spans="1:23" ht="51.5" customHeight="1" x14ac:dyDescent="0.35">
      <c r="A286" s="9" t="s">
        <v>1518</v>
      </c>
      <c r="B286" s="9" t="s">
        <v>350</v>
      </c>
      <c r="C286" s="9" t="s">
        <v>351</v>
      </c>
      <c r="D286" s="9" t="str">
        <f>B286&amp;" - "&amp;C286</f>
        <v>Operational processes - Operational efficiency</v>
      </c>
      <c r="E286" s="9" t="s">
        <v>8</v>
      </c>
      <c r="G286" s="9" t="s">
        <v>1090</v>
      </c>
      <c r="H286" s="9" t="str">
        <f>IF(E286="x","Economic - "&amp;G286,"Environmental - "&amp;G286)</f>
        <v>Economic - Other</v>
      </c>
      <c r="I286" s="12" t="s">
        <v>380</v>
      </c>
      <c r="J286" s="9" t="s">
        <v>381</v>
      </c>
      <c r="K286" s="9" t="s">
        <v>10</v>
      </c>
      <c r="L286" s="9" t="s">
        <v>1273</v>
      </c>
      <c r="M286" s="9" t="s">
        <v>468</v>
      </c>
      <c r="N286" s="9">
        <f>LEN(O286) - LEN(SUBSTITUTE(O286, ";", ""))+1</f>
        <v>9</v>
      </c>
      <c r="O286" s="9" t="s">
        <v>1056</v>
      </c>
      <c r="P286" s="9" t="s">
        <v>20</v>
      </c>
      <c r="Q286" s="9" t="s">
        <v>1324</v>
      </c>
      <c r="R286" s="9" t="s">
        <v>1286</v>
      </c>
      <c r="S286" s="9" t="s">
        <v>1826</v>
      </c>
      <c r="W286" s="23"/>
    </row>
    <row r="287" spans="1:23" ht="51.5" customHeight="1" x14ac:dyDescent="0.35">
      <c r="A287" s="9" t="s">
        <v>1519</v>
      </c>
      <c r="B287" s="9" t="s">
        <v>350</v>
      </c>
      <c r="C287" s="9" t="s">
        <v>351</v>
      </c>
      <c r="D287" s="9" t="str">
        <f>B287&amp;" - "&amp;C287</f>
        <v>Operational processes - Operational efficiency</v>
      </c>
      <c r="E287" s="9" t="s">
        <v>8</v>
      </c>
      <c r="G287" s="9" t="s">
        <v>1090</v>
      </c>
      <c r="H287" s="9" t="str">
        <f>IF(E287="x","Economic - "&amp;G287,"Environmental - "&amp;G287)</f>
        <v>Economic - Other</v>
      </c>
      <c r="I287" s="12" t="s">
        <v>382</v>
      </c>
      <c r="J287" s="9" t="s">
        <v>383</v>
      </c>
      <c r="K287" s="9" t="s">
        <v>10</v>
      </c>
      <c r="L287" s="9" t="s">
        <v>1273</v>
      </c>
      <c r="M287" s="9" t="s">
        <v>468</v>
      </c>
      <c r="N287" s="9">
        <f>LEN(O287) - LEN(SUBSTITUTE(O287, ";", ""))+1</f>
        <v>1</v>
      </c>
      <c r="O287" s="9" t="s">
        <v>384</v>
      </c>
      <c r="P287" s="9" t="s">
        <v>106</v>
      </c>
      <c r="Q287" s="9" t="s">
        <v>17</v>
      </c>
      <c r="R287" s="9" t="s">
        <v>85</v>
      </c>
      <c r="S287" s="9" t="s">
        <v>17</v>
      </c>
      <c r="W287" s="23"/>
    </row>
    <row r="288" spans="1:23" ht="51.5" customHeight="1" x14ac:dyDescent="0.35">
      <c r="A288" s="9" t="s">
        <v>1520</v>
      </c>
      <c r="B288" s="9" t="s">
        <v>350</v>
      </c>
      <c r="C288" s="9" t="s">
        <v>351</v>
      </c>
      <c r="D288" s="9" t="str">
        <f>B288&amp;" - "&amp;C288</f>
        <v>Operational processes - Operational efficiency</v>
      </c>
      <c r="E288" s="9" t="s">
        <v>8</v>
      </c>
      <c r="G288" s="9" t="s">
        <v>1090</v>
      </c>
      <c r="H288" s="9" t="str">
        <f>IF(E288="x","Economic - "&amp;G288,"Environmental - "&amp;G288)</f>
        <v>Economic - Other</v>
      </c>
      <c r="I288" s="12" t="s">
        <v>385</v>
      </c>
      <c r="J288" s="9" t="s">
        <v>386</v>
      </c>
      <c r="K288" s="9" t="s">
        <v>10</v>
      </c>
      <c r="L288" s="9" t="s">
        <v>1273</v>
      </c>
      <c r="M288" s="9" t="s">
        <v>468</v>
      </c>
      <c r="N288" s="9">
        <f>LEN(O288) - LEN(SUBSTITUTE(O288, ";", ""))+1</f>
        <v>1</v>
      </c>
      <c r="O288" s="9" t="s">
        <v>88</v>
      </c>
      <c r="P288" s="9" t="s">
        <v>84</v>
      </c>
      <c r="Q288" s="9" t="s">
        <v>17</v>
      </c>
      <c r="R288" s="9" t="s">
        <v>89</v>
      </c>
      <c r="S288" s="9" t="s">
        <v>17</v>
      </c>
      <c r="W288" s="23"/>
    </row>
    <row r="289" spans="1:23" ht="51.5" customHeight="1" x14ac:dyDescent="0.35">
      <c r="A289" s="9" t="s">
        <v>1521</v>
      </c>
      <c r="B289" s="9" t="s">
        <v>350</v>
      </c>
      <c r="C289" s="9" t="s">
        <v>351</v>
      </c>
      <c r="D289" s="9" t="str">
        <f>B289&amp;" - "&amp;C289</f>
        <v>Operational processes - Operational efficiency</v>
      </c>
      <c r="F289" s="9" t="s">
        <v>8</v>
      </c>
      <c r="G289" s="9" t="s">
        <v>1090</v>
      </c>
      <c r="H289" s="9" t="str">
        <f>IF(E289="x","Economic - "&amp;G289,"Environmental - "&amp;G289)</f>
        <v>Environmental - Other</v>
      </c>
      <c r="I289" s="12" t="s">
        <v>387</v>
      </c>
      <c r="J289" s="9" t="s">
        <v>388</v>
      </c>
      <c r="K289" s="9" t="s">
        <v>10</v>
      </c>
      <c r="L289" s="9" t="s">
        <v>57</v>
      </c>
      <c r="M289" s="9" t="s">
        <v>468</v>
      </c>
      <c r="N289" s="9">
        <f>LEN(O289) - LEN(SUBSTITUTE(O289, ";", ""))+1</f>
        <v>1</v>
      </c>
      <c r="O289" s="9" t="s">
        <v>389</v>
      </c>
      <c r="P289" s="9" t="s">
        <v>74</v>
      </c>
      <c r="Q289" s="9" t="s">
        <v>17</v>
      </c>
      <c r="R289" s="9" t="s">
        <v>17</v>
      </c>
      <c r="S289" s="9" t="s">
        <v>17</v>
      </c>
      <c r="W289" s="23"/>
    </row>
    <row r="290" spans="1:23" ht="51.5" customHeight="1" x14ac:dyDescent="0.35">
      <c r="A290" s="9" t="s">
        <v>1522</v>
      </c>
      <c r="B290" s="9" t="s">
        <v>350</v>
      </c>
      <c r="C290" s="9" t="s">
        <v>351</v>
      </c>
      <c r="D290" s="9" t="str">
        <f>B290&amp;" - "&amp;C290</f>
        <v>Operational processes - Operational efficiency</v>
      </c>
      <c r="F290" s="9" t="s">
        <v>8</v>
      </c>
      <c r="G290" s="9" t="s">
        <v>1088</v>
      </c>
      <c r="H290" s="9" t="str">
        <f>IF(E290="x","Economic - "&amp;G290,"Environmental - "&amp;G290)</f>
        <v>Environmental - Pollution</v>
      </c>
      <c r="I290" s="12" t="s">
        <v>390</v>
      </c>
      <c r="J290" s="9" t="s">
        <v>391</v>
      </c>
      <c r="K290" s="9" t="s">
        <v>392</v>
      </c>
      <c r="L290" s="9" t="s">
        <v>1256</v>
      </c>
      <c r="M290" s="9" t="s">
        <v>468</v>
      </c>
      <c r="N290" s="9">
        <f>LEN(O290) - LEN(SUBSTITUTE(O290, ";", ""))+1</f>
        <v>1</v>
      </c>
      <c r="O290" s="9" t="s">
        <v>255</v>
      </c>
      <c r="P290" s="9" t="s">
        <v>39</v>
      </c>
      <c r="Q290" s="9" t="s">
        <v>2112</v>
      </c>
      <c r="R290" s="9" t="s">
        <v>17</v>
      </c>
      <c r="S290" s="9" t="s">
        <v>1830</v>
      </c>
      <c r="W290" s="23"/>
    </row>
    <row r="291" spans="1:23" ht="51.5" customHeight="1" x14ac:dyDescent="0.35">
      <c r="A291" s="9" t="s">
        <v>1523</v>
      </c>
      <c r="B291" s="9" t="s">
        <v>350</v>
      </c>
      <c r="C291" s="9" t="s">
        <v>351</v>
      </c>
      <c r="D291" s="9" t="str">
        <f>B291&amp;" - "&amp;C291</f>
        <v>Operational processes - Operational efficiency</v>
      </c>
      <c r="F291" s="9" t="s">
        <v>8</v>
      </c>
      <c r="G291" s="9" t="s">
        <v>1088</v>
      </c>
      <c r="H291" s="9" t="str">
        <f>IF(E291="x","Economic - "&amp;G291,"Environmental - "&amp;G291)</f>
        <v>Environmental - Pollution</v>
      </c>
      <c r="I291" s="12" t="s">
        <v>394</v>
      </c>
      <c r="J291" s="9" t="s">
        <v>395</v>
      </c>
      <c r="K291" s="9" t="s">
        <v>10</v>
      </c>
      <c r="L291" s="9" t="s">
        <v>1246</v>
      </c>
      <c r="M291" s="9" t="s">
        <v>396</v>
      </c>
      <c r="N291" s="9">
        <f>LEN(O291) - LEN(SUBSTITUTE(O291, ";", ""))+1</f>
        <v>3</v>
      </c>
      <c r="O291" s="9" t="s">
        <v>1993</v>
      </c>
      <c r="P291" s="9" t="s">
        <v>74</v>
      </c>
      <c r="Q291" s="9" t="s">
        <v>1312</v>
      </c>
      <c r="R291" s="9" t="s">
        <v>17</v>
      </c>
      <c r="S291" s="9" t="s">
        <v>1820</v>
      </c>
      <c r="W291" s="23"/>
    </row>
    <row r="292" spans="1:23" ht="51.5" customHeight="1" x14ac:dyDescent="0.35">
      <c r="A292" s="9" t="s">
        <v>1524</v>
      </c>
      <c r="B292" s="9" t="s">
        <v>350</v>
      </c>
      <c r="C292" s="9" t="s">
        <v>351</v>
      </c>
      <c r="D292" s="9" t="str">
        <f>B292&amp;" - "&amp;C292</f>
        <v>Operational processes - Operational efficiency</v>
      </c>
      <c r="F292" s="9" t="s">
        <v>8</v>
      </c>
      <c r="G292" s="9" t="s">
        <v>1197</v>
      </c>
      <c r="H292" s="9" t="str">
        <f>IF(E292="x","Economic - "&amp;G292,"Environmental - "&amp;G292)</f>
        <v>Environmental - Resource Use &amp; Circular Economy</v>
      </c>
      <c r="I292" s="12" t="s">
        <v>397</v>
      </c>
      <c r="J292" s="9" t="s">
        <v>2173</v>
      </c>
      <c r="K292" s="9" t="s">
        <v>10</v>
      </c>
      <c r="L292" s="9" t="s">
        <v>11</v>
      </c>
      <c r="M292" s="9" t="s">
        <v>468</v>
      </c>
      <c r="N292" s="9">
        <f>LEN(O292) - LEN(SUBSTITUTE(O292, ";", ""))+1</f>
        <v>6</v>
      </c>
      <c r="O292" s="9" t="s">
        <v>2012</v>
      </c>
      <c r="P292" s="9" t="s">
        <v>65</v>
      </c>
      <c r="Q292" s="9" t="s">
        <v>2105</v>
      </c>
      <c r="R292" s="9" t="s">
        <v>1289</v>
      </c>
      <c r="S292" s="9" t="s">
        <v>1826</v>
      </c>
      <c r="W292" s="23"/>
    </row>
    <row r="293" spans="1:23" ht="51.5" customHeight="1" x14ac:dyDescent="0.35">
      <c r="A293" s="9" t="s">
        <v>1525</v>
      </c>
      <c r="B293" s="9" t="s">
        <v>350</v>
      </c>
      <c r="C293" s="9" t="s">
        <v>351</v>
      </c>
      <c r="D293" s="9" t="str">
        <f>B293&amp;" - "&amp;C293</f>
        <v>Operational processes - Operational efficiency</v>
      </c>
      <c r="F293" s="9" t="s">
        <v>8</v>
      </c>
      <c r="G293" s="9" t="s">
        <v>1197</v>
      </c>
      <c r="H293" s="9" t="str">
        <f>IF(E293="x","Economic - "&amp;G293,"Environmental - "&amp;G293)</f>
        <v>Environmental - Resource Use &amp; Circular Economy</v>
      </c>
      <c r="I293" s="12" t="s">
        <v>398</v>
      </c>
      <c r="J293" s="9" t="s">
        <v>1103</v>
      </c>
      <c r="K293" s="9" t="s">
        <v>10</v>
      </c>
      <c r="L293" s="9" t="s">
        <v>16</v>
      </c>
      <c r="M293" s="9" t="s">
        <v>468</v>
      </c>
      <c r="N293" s="9">
        <f>LEN(O293) - LEN(SUBSTITUTE(O293, ";", ""))+1</f>
        <v>4</v>
      </c>
      <c r="O293" s="9" t="s">
        <v>399</v>
      </c>
      <c r="P293" s="9" t="s">
        <v>148</v>
      </c>
      <c r="Q293" s="9" t="s">
        <v>1309</v>
      </c>
      <c r="R293" s="9" t="s">
        <v>1292</v>
      </c>
      <c r="S293" s="9" t="s">
        <v>1820</v>
      </c>
      <c r="W293" s="23"/>
    </row>
    <row r="294" spans="1:23" ht="51.5" customHeight="1" x14ac:dyDescent="0.35">
      <c r="A294" s="9" t="s">
        <v>1526</v>
      </c>
      <c r="B294" s="9" t="s">
        <v>350</v>
      </c>
      <c r="C294" s="9" t="s">
        <v>351</v>
      </c>
      <c r="D294" s="9" t="str">
        <f>B294&amp;" - "&amp;C294</f>
        <v>Operational processes - Operational efficiency</v>
      </c>
      <c r="F294" s="9" t="s">
        <v>8</v>
      </c>
      <c r="G294" s="9" t="s">
        <v>1089</v>
      </c>
      <c r="H294" s="9" t="str">
        <f>IF(E294="x","Economic - "&amp;G294,"Environmental - "&amp;G294)</f>
        <v>Environmental - Biodiversity &amp; Ecosystems</v>
      </c>
      <c r="I294" s="12" t="s">
        <v>400</v>
      </c>
      <c r="J294" s="9" t="s">
        <v>401</v>
      </c>
      <c r="K294" s="9" t="s">
        <v>10</v>
      </c>
      <c r="L294" s="9" t="s">
        <v>57</v>
      </c>
      <c r="M294" s="9" t="s">
        <v>468</v>
      </c>
      <c r="N294" s="9">
        <f>LEN(O294) - LEN(SUBSTITUTE(O294, ";", ""))+1</f>
        <v>2</v>
      </c>
      <c r="O294" s="9" t="s">
        <v>402</v>
      </c>
      <c r="P294" s="9" t="s">
        <v>69</v>
      </c>
      <c r="Q294" s="9" t="s">
        <v>1313</v>
      </c>
      <c r="R294" s="9" t="s">
        <v>1304</v>
      </c>
      <c r="S294" s="9" t="s">
        <v>17</v>
      </c>
      <c r="W294" s="23"/>
    </row>
    <row r="295" spans="1:23" ht="51.5" customHeight="1" x14ac:dyDescent="0.35">
      <c r="A295" s="9" t="s">
        <v>1527</v>
      </c>
      <c r="B295" s="9" t="s">
        <v>350</v>
      </c>
      <c r="C295" s="9" t="s">
        <v>351</v>
      </c>
      <c r="D295" s="9" t="str">
        <f>B295&amp;" - "&amp;C295</f>
        <v>Operational processes - Operational efficiency</v>
      </c>
      <c r="E295" s="9" t="s">
        <v>8</v>
      </c>
      <c r="G295" s="9" t="s">
        <v>1086</v>
      </c>
      <c r="H295" s="9" t="str">
        <f>IF(E295="x","Economic - "&amp;G295,"Environmental - "&amp;G295)</f>
        <v>Economic - Cost</v>
      </c>
      <c r="I295" s="12" t="s">
        <v>403</v>
      </c>
      <c r="J295" s="9" t="s">
        <v>404</v>
      </c>
      <c r="K295" s="9" t="s">
        <v>10</v>
      </c>
      <c r="L295" s="9" t="s">
        <v>19</v>
      </c>
      <c r="M295" s="9" t="s">
        <v>468</v>
      </c>
      <c r="N295" s="9">
        <f>LEN(O295) - LEN(SUBSTITUTE(O295, ";", ""))+1</f>
        <v>10</v>
      </c>
      <c r="O295" s="9" t="s">
        <v>1908</v>
      </c>
      <c r="P295" s="9" t="s">
        <v>50</v>
      </c>
      <c r="Q295" s="9" t="s">
        <v>2129</v>
      </c>
      <c r="R295" s="9" t="s">
        <v>1287</v>
      </c>
      <c r="S295" s="9" t="s">
        <v>1823</v>
      </c>
      <c r="W295" s="23"/>
    </row>
    <row r="296" spans="1:23" ht="51.5" customHeight="1" x14ac:dyDescent="0.35">
      <c r="A296" s="9" t="s">
        <v>1528</v>
      </c>
      <c r="B296" s="9" t="s">
        <v>350</v>
      </c>
      <c r="C296" s="9" t="s">
        <v>351</v>
      </c>
      <c r="D296" s="9" t="str">
        <f>B296&amp;" - "&amp;C296</f>
        <v>Operational processes - Operational efficiency</v>
      </c>
      <c r="E296" s="9" t="s">
        <v>8</v>
      </c>
      <c r="G296" s="9" t="s">
        <v>1090</v>
      </c>
      <c r="H296" s="9" t="str">
        <f>IF(E296="x","Economic - "&amp;G296,"Environmental - "&amp;G296)</f>
        <v>Economic - Other</v>
      </c>
      <c r="I296" s="12" t="s">
        <v>405</v>
      </c>
      <c r="J296" s="9" t="s">
        <v>406</v>
      </c>
      <c r="K296" s="9" t="s">
        <v>10</v>
      </c>
      <c r="L296" s="9" t="s">
        <v>57</v>
      </c>
      <c r="M296" s="9" t="s">
        <v>468</v>
      </c>
      <c r="N296" s="9">
        <f>LEN(O296) - LEN(SUBSTITUTE(O296, ";", ""))+1</f>
        <v>2</v>
      </c>
      <c r="O296" s="9" t="s">
        <v>180</v>
      </c>
      <c r="P296" s="9" t="s">
        <v>84</v>
      </c>
      <c r="Q296" s="9" t="s">
        <v>1309</v>
      </c>
      <c r="R296" s="9" t="s">
        <v>1292</v>
      </c>
      <c r="S296" s="9" t="s">
        <v>17</v>
      </c>
      <c r="W296" s="23"/>
    </row>
    <row r="297" spans="1:23" ht="51.5" customHeight="1" x14ac:dyDescent="0.35">
      <c r="A297" s="9" t="s">
        <v>1529</v>
      </c>
      <c r="B297" s="9" t="s">
        <v>350</v>
      </c>
      <c r="C297" s="9" t="s">
        <v>351</v>
      </c>
      <c r="D297" s="9" t="str">
        <f>B297&amp;" - "&amp;C297</f>
        <v>Operational processes - Operational efficiency</v>
      </c>
      <c r="E297" s="9" t="s">
        <v>8</v>
      </c>
      <c r="G297" s="9" t="s">
        <v>1090</v>
      </c>
      <c r="H297" s="9" t="str">
        <f>IF(E297="x","Economic - "&amp;G297,"Environmental - "&amp;G297)</f>
        <v>Economic - Other</v>
      </c>
      <c r="I297" s="12" t="s">
        <v>407</v>
      </c>
      <c r="J297" s="9" t="s">
        <v>408</v>
      </c>
      <c r="K297" s="9" t="s">
        <v>10</v>
      </c>
      <c r="L297" s="9" t="s">
        <v>16</v>
      </c>
      <c r="M297" s="9" t="s">
        <v>468</v>
      </c>
      <c r="N297" s="9">
        <f>LEN(O297) - LEN(SUBSTITUTE(O297, ";", ""))+1</f>
        <v>2</v>
      </c>
      <c r="O297" s="9" t="s">
        <v>180</v>
      </c>
      <c r="P297" s="9" t="s">
        <v>84</v>
      </c>
      <c r="Q297" s="9" t="s">
        <v>1309</v>
      </c>
      <c r="R297" s="9" t="s">
        <v>1292</v>
      </c>
      <c r="S297" s="9" t="s">
        <v>17</v>
      </c>
      <c r="W297" s="23"/>
    </row>
    <row r="298" spans="1:23" ht="51.5" customHeight="1" x14ac:dyDescent="0.35">
      <c r="A298" s="9" t="s">
        <v>1530</v>
      </c>
      <c r="B298" s="9" t="s">
        <v>350</v>
      </c>
      <c r="C298" s="9" t="s">
        <v>351</v>
      </c>
      <c r="D298" s="9" t="str">
        <f>B298&amp;" - "&amp;C298</f>
        <v>Operational processes - Operational efficiency</v>
      </c>
      <c r="F298" s="9" t="s">
        <v>8</v>
      </c>
      <c r="G298" s="9" t="s">
        <v>1197</v>
      </c>
      <c r="H298" s="9" t="str">
        <f>IF(E298="x","Economic - "&amp;G298,"Environmental - "&amp;G298)</f>
        <v>Environmental - Resource Use &amp; Circular Economy</v>
      </c>
      <c r="I298" s="12" t="s">
        <v>409</v>
      </c>
      <c r="J298" s="9" t="s">
        <v>410</v>
      </c>
      <c r="K298" s="9" t="s">
        <v>10</v>
      </c>
      <c r="L298" s="9" t="s">
        <v>57</v>
      </c>
      <c r="M298" s="9" t="s">
        <v>468</v>
      </c>
      <c r="N298" s="9">
        <f>LEN(O298) - LEN(SUBSTITUTE(O298, ";", ""))+1</f>
        <v>1</v>
      </c>
      <c r="O298" s="9" t="s">
        <v>92</v>
      </c>
      <c r="P298" s="9" t="s">
        <v>84</v>
      </c>
      <c r="Q298" s="9" t="s">
        <v>17</v>
      </c>
      <c r="R298" s="9" t="s">
        <v>93</v>
      </c>
      <c r="S298" s="9" t="s">
        <v>17</v>
      </c>
      <c r="W298" s="23"/>
    </row>
    <row r="299" spans="1:23" ht="51.5" customHeight="1" x14ac:dyDescent="0.35">
      <c r="A299" s="9" t="s">
        <v>2072</v>
      </c>
      <c r="B299" s="9" t="s">
        <v>350</v>
      </c>
      <c r="C299" s="9" t="s">
        <v>351</v>
      </c>
      <c r="D299" s="9" t="str">
        <f>B299&amp;" - "&amp;C299</f>
        <v>Operational processes - Operational efficiency</v>
      </c>
      <c r="E299" s="9" t="s">
        <v>8</v>
      </c>
      <c r="G299" s="9" t="s">
        <v>1086</v>
      </c>
      <c r="H299" s="9" t="str">
        <f>IF(E299="x","Economic - "&amp;G299,"Environmental - "&amp;G299)</f>
        <v>Economic - Cost</v>
      </c>
      <c r="I299" s="12" t="s">
        <v>2024</v>
      </c>
      <c r="J299" s="9" t="s">
        <v>2025</v>
      </c>
      <c r="K299" s="9" t="s">
        <v>10</v>
      </c>
      <c r="L299" s="9" t="s">
        <v>19</v>
      </c>
      <c r="M299" s="9" t="s">
        <v>468</v>
      </c>
      <c r="N299" s="9">
        <f>LEN(O299) - LEN(SUBSTITUTE(O299, ";", ""))+1</f>
        <v>1</v>
      </c>
      <c r="O299" s="9" t="s">
        <v>38</v>
      </c>
      <c r="P299" s="9" t="s">
        <v>39</v>
      </c>
      <c r="Q299" s="9" t="s">
        <v>40</v>
      </c>
      <c r="R299" s="9" t="s">
        <v>17</v>
      </c>
      <c r="S299" s="9" t="s">
        <v>1825</v>
      </c>
      <c r="W299" s="23"/>
    </row>
    <row r="300" spans="1:23" ht="51.5" customHeight="1" x14ac:dyDescent="0.35">
      <c r="A300" s="9" t="s">
        <v>1531</v>
      </c>
      <c r="B300" s="9" t="s">
        <v>350</v>
      </c>
      <c r="C300" s="9" t="s">
        <v>351</v>
      </c>
      <c r="D300" s="9" t="str">
        <f>B300&amp;" - "&amp;C300</f>
        <v>Operational processes - Operational efficiency</v>
      </c>
      <c r="E300" s="9" t="s">
        <v>8</v>
      </c>
      <c r="G300" s="9" t="s">
        <v>1090</v>
      </c>
      <c r="H300" s="9" t="str">
        <f>IF(E300="x","Economic - "&amp;G300,"Environmental - "&amp;G300)</f>
        <v>Economic - Other</v>
      </c>
      <c r="I300" s="12" t="s">
        <v>411</v>
      </c>
      <c r="J300" s="9" t="s">
        <v>412</v>
      </c>
      <c r="K300" s="9" t="s">
        <v>10</v>
      </c>
      <c r="L300" s="9" t="s">
        <v>1273</v>
      </c>
      <c r="M300" s="9" t="s">
        <v>468</v>
      </c>
      <c r="N300" s="9">
        <f>LEN(O300) - LEN(SUBSTITUTE(O300, ";", ""))+1</f>
        <v>3</v>
      </c>
      <c r="O300" s="9" t="s">
        <v>413</v>
      </c>
      <c r="P300" s="9" t="s">
        <v>23</v>
      </c>
      <c r="Q300" s="9" t="s">
        <v>1325</v>
      </c>
      <c r="R300" s="9" t="s">
        <v>1326</v>
      </c>
      <c r="S300" s="9" t="s">
        <v>17</v>
      </c>
      <c r="W300" s="23"/>
    </row>
    <row r="301" spans="1:23" ht="51.5" customHeight="1" x14ac:dyDescent="0.35">
      <c r="A301" s="9" t="s">
        <v>1532</v>
      </c>
      <c r="B301" s="9" t="s">
        <v>350</v>
      </c>
      <c r="C301" s="9" t="s">
        <v>351</v>
      </c>
      <c r="D301" s="9" t="str">
        <f>B301&amp;" - "&amp;C301</f>
        <v>Operational processes - Operational efficiency</v>
      </c>
      <c r="E301" s="9" t="s">
        <v>8</v>
      </c>
      <c r="G301" s="9" t="s">
        <v>1090</v>
      </c>
      <c r="H301" s="9" t="str">
        <f>IF(E301="x","Economic - "&amp;G301,"Environmental - "&amp;G301)</f>
        <v>Economic - Other</v>
      </c>
      <c r="I301" s="12" t="s">
        <v>414</v>
      </c>
      <c r="J301" s="9" t="s">
        <v>415</v>
      </c>
      <c r="K301" s="9" t="s">
        <v>10</v>
      </c>
      <c r="L301" s="9" t="s">
        <v>1273</v>
      </c>
      <c r="M301" s="9" t="s">
        <v>468</v>
      </c>
      <c r="N301" s="9">
        <f>LEN(O301) - LEN(SUBSTITUTE(O301, ";", ""))+1</f>
        <v>1</v>
      </c>
      <c r="O301" s="9" t="s">
        <v>416</v>
      </c>
      <c r="P301" s="9" t="s">
        <v>84</v>
      </c>
      <c r="Q301" s="9" t="s">
        <v>124</v>
      </c>
      <c r="R301" s="9" t="s">
        <v>417</v>
      </c>
      <c r="S301" s="9" t="s">
        <v>17</v>
      </c>
      <c r="W301" s="23"/>
    </row>
    <row r="302" spans="1:23" ht="51.5" customHeight="1" x14ac:dyDescent="0.35">
      <c r="A302" s="9" t="s">
        <v>1533</v>
      </c>
      <c r="B302" s="9" t="s">
        <v>350</v>
      </c>
      <c r="C302" s="9" t="s">
        <v>351</v>
      </c>
      <c r="D302" s="9" t="str">
        <f>B302&amp;" - "&amp;C302</f>
        <v>Operational processes - Operational efficiency</v>
      </c>
      <c r="E302" s="9" t="s">
        <v>8</v>
      </c>
      <c r="G302" s="9" t="s">
        <v>1090</v>
      </c>
      <c r="H302" s="9" t="str">
        <f>IF(E302="x","Economic - "&amp;G302,"Environmental - "&amp;G302)</f>
        <v>Economic - Other</v>
      </c>
      <c r="I302" s="12" t="s">
        <v>418</v>
      </c>
      <c r="J302" s="9" t="s">
        <v>419</v>
      </c>
      <c r="K302" s="9" t="s">
        <v>10</v>
      </c>
      <c r="L302" s="9" t="s">
        <v>16</v>
      </c>
      <c r="M302" s="9" t="s">
        <v>468</v>
      </c>
      <c r="N302" s="9">
        <f>LEN(O302) - LEN(SUBSTITUTE(O302, ";", ""))+1</f>
        <v>3</v>
      </c>
      <c r="O302" s="9" t="s">
        <v>420</v>
      </c>
      <c r="P302" s="9" t="s">
        <v>23</v>
      </c>
      <c r="Q302" s="9" t="s">
        <v>1327</v>
      </c>
      <c r="R302" s="9" t="s">
        <v>1292</v>
      </c>
      <c r="S302" s="9" t="s">
        <v>17</v>
      </c>
      <c r="W302" s="23"/>
    </row>
    <row r="303" spans="1:23" ht="51.5" customHeight="1" x14ac:dyDescent="0.35">
      <c r="A303" s="9" t="s">
        <v>1534</v>
      </c>
      <c r="B303" s="9" t="s">
        <v>350</v>
      </c>
      <c r="C303" s="9" t="s">
        <v>351</v>
      </c>
      <c r="D303" s="9" t="str">
        <f>B303&amp;" - "&amp;C303</f>
        <v>Operational processes - Operational efficiency</v>
      </c>
      <c r="E303" s="9" t="s">
        <v>8</v>
      </c>
      <c r="G303" s="9" t="s">
        <v>1086</v>
      </c>
      <c r="H303" s="9" t="str">
        <f>IF(E303="x","Economic - "&amp;G303,"Environmental - "&amp;G303)</f>
        <v>Economic - Cost</v>
      </c>
      <c r="I303" s="12" t="s">
        <v>421</v>
      </c>
      <c r="J303" s="9" t="s">
        <v>422</v>
      </c>
      <c r="K303" s="9" t="s">
        <v>10</v>
      </c>
      <c r="L303" s="9" t="s">
        <v>19</v>
      </c>
      <c r="M303" s="9" t="s">
        <v>468</v>
      </c>
      <c r="N303" s="9">
        <f>LEN(O303) - LEN(SUBSTITUTE(O303, ";", ""))+1</f>
        <v>2</v>
      </c>
      <c r="O303" s="9" t="s">
        <v>423</v>
      </c>
      <c r="P303" s="9" t="s">
        <v>84</v>
      </c>
      <c r="Q303" s="9" t="s">
        <v>1310</v>
      </c>
      <c r="R303" s="9" t="s">
        <v>1326</v>
      </c>
      <c r="S303" s="9" t="s">
        <v>17</v>
      </c>
      <c r="W303" s="23"/>
    </row>
    <row r="304" spans="1:23" ht="51.5" customHeight="1" x14ac:dyDescent="0.35">
      <c r="A304" s="9" t="s">
        <v>1535</v>
      </c>
      <c r="B304" s="9" t="s">
        <v>350</v>
      </c>
      <c r="C304" s="9" t="s">
        <v>351</v>
      </c>
      <c r="D304" s="9" t="str">
        <f>B304&amp;" - "&amp;C304</f>
        <v>Operational processes - Operational efficiency</v>
      </c>
      <c r="E304" s="9" t="s">
        <v>8</v>
      </c>
      <c r="G304" s="9" t="s">
        <v>1086</v>
      </c>
      <c r="H304" s="9" t="str">
        <f>IF(E304="x","Economic - "&amp;G304,"Environmental - "&amp;G304)</f>
        <v>Economic - Cost</v>
      </c>
      <c r="I304" s="12" t="s">
        <v>424</v>
      </c>
      <c r="J304" s="9" t="s">
        <v>425</v>
      </c>
      <c r="K304" s="9" t="s">
        <v>10</v>
      </c>
      <c r="L304" s="9" t="s">
        <v>19</v>
      </c>
      <c r="M304" s="9" t="s">
        <v>468</v>
      </c>
      <c r="N304" s="9">
        <f>LEN(O304) - LEN(SUBSTITUTE(O304, ";", ""))+1</f>
        <v>1</v>
      </c>
      <c r="O304" s="9" t="s">
        <v>416</v>
      </c>
      <c r="P304" s="9" t="s">
        <v>84</v>
      </c>
      <c r="Q304" s="9" t="s">
        <v>124</v>
      </c>
      <c r="R304" s="9" t="s">
        <v>417</v>
      </c>
      <c r="S304" s="9" t="s">
        <v>17</v>
      </c>
      <c r="W304" s="23"/>
    </row>
    <row r="305" spans="1:23" ht="51.5" customHeight="1" x14ac:dyDescent="0.35">
      <c r="A305" s="9" t="s">
        <v>1536</v>
      </c>
      <c r="B305" s="9" t="s">
        <v>350</v>
      </c>
      <c r="C305" s="9" t="s">
        <v>351</v>
      </c>
      <c r="D305" s="9" t="str">
        <f>B305&amp;" - "&amp;C305</f>
        <v>Operational processes - Operational efficiency</v>
      </c>
      <c r="E305" s="9" t="s">
        <v>8</v>
      </c>
      <c r="G305" s="9" t="s">
        <v>1086</v>
      </c>
      <c r="H305" s="9" t="str">
        <f>IF(E305="x","Economic - "&amp;G305,"Environmental - "&amp;G305)</f>
        <v>Economic - Cost</v>
      </c>
      <c r="I305" s="12" t="s">
        <v>426</v>
      </c>
      <c r="J305" s="9" t="s">
        <v>427</v>
      </c>
      <c r="K305" s="9" t="s">
        <v>10</v>
      </c>
      <c r="L305" s="9" t="s">
        <v>19</v>
      </c>
      <c r="M305" s="9" t="s">
        <v>468</v>
      </c>
      <c r="N305" s="9">
        <f>LEN(O305) - LEN(SUBSTITUTE(O305, ";", ""))+1</f>
        <v>4</v>
      </c>
      <c r="O305" s="9" t="s">
        <v>428</v>
      </c>
      <c r="P305" s="9" t="s">
        <v>69</v>
      </c>
      <c r="Q305" s="9" t="s">
        <v>1312</v>
      </c>
      <c r="R305" s="9" t="s">
        <v>1287</v>
      </c>
      <c r="S305" s="9" t="s">
        <v>17</v>
      </c>
      <c r="W305" s="23"/>
    </row>
    <row r="306" spans="1:23" ht="51.5" customHeight="1" x14ac:dyDescent="0.35">
      <c r="A306" s="9" t="s">
        <v>1537</v>
      </c>
      <c r="B306" s="9" t="s">
        <v>350</v>
      </c>
      <c r="C306" s="9" t="s">
        <v>351</v>
      </c>
      <c r="D306" s="9" t="str">
        <f>B306&amp;" - "&amp;C306</f>
        <v>Operational processes - Operational efficiency</v>
      </c>
      <c r="E306" s="9" t="s">
        <v>8</v>
      </c>
      <c r="G306" s="9" t="s">
        <v>1086</v>
      </c>
      <c r="H306" s="9" t="str">
        <f>IF(E306="x","Economic - "&amp;G306,"Environmental - "&amp;G306)</f>
        <v>Economic - Cost</v>
      </c>
      <c r="I306" s="12" t="s">
        <v>429</v>
      </c>
      <c r="J306" s="9" t="s">
        <v>430</v>
      </c>
      <c r="K306" s="9" t="s">
        <v>10</v>
      </c>
      <c r="L306" s="9" t="s">
        <v>16</v>
      </c>
      <c r="M306" s="9" t="s">
        <v>468</v>
      </c>
      <c r="N306" s="9">
        <f>LEN(O306) - LEN(SUBSTITUTE(O306, ";", ""))+1</f>
        <v>2</v>
      </c>
      <c r="O306" s="9" t="s">
        <v>431</v>
      </c>
      <c r="P306" s="9" t="s">
        <v>69</v>
      </c>
      <c r="Q306" s="9" t="s">
        <v>432</v>
      </c>
      <c r="R306" s="9" t="s">
        <v>1319</v>
      </c>
      <c r="S306" s="9" t="s">
        <v>17</v>
      </c>
      <c r="W306" s="23"/>
    </row>
    <row r="307" spans="1:23" ht="51.5" customHeight="1" x14ac:dyDescent="0.35">
      <c r="A307" s="9" t="s">
        <v>1538</v>
      </c>
      <c r="B307" s="9" t="s">
        <v>350</v>
      </c>
      <c r="C307" s="9" t="s">
        <v>351</v>
      </c>
      <c r="D307" s="9" t="str">
        <f>B307&amp;" - "&amp;C307</f>
        <v>Operational processes - Operational efficiency</v>
      </c>
      <c r="E307" s="9" t="s">
        <v>8</v>
      </c>
      <c r="G307" s="9" t="s">
        <v>1090</v>
      </c>
      <c r="H307" s="9" t="str">
        <f>IF(E307="x","Economic - "&amp;G307,"Environmental - "&amp;G307)</f>
        <v>Economic - Other</v>
      </c>
      <c r="I307" s="12" t="s">
        <v>433</v>
      </c>
      <c r="J307" s="9" t="s">
        <v>434</v>
      </c>
      <c r="K307" s="9" t="s">
        <v>10</v>
      </c>
      <c r="L307" s="9" t="s">
        <v>16</v>
      </c>
      <c r="M307" s="9" t="s">
        <v>468</v>
      </c>
      <c r="N307" s="9">
        <f>LEN(O307) - LEN(SUBSTITUTE(O307, ";", ""))+1</f>
        <v>1</v>
      </c>
      <c r="O307" s="9" t="s">
        <v>337</v>
      </c>
      <c r="P307" s="9" t="s">
        <v>84</v>
      </c>
      <c r="Q307" s="9" t="s">
        <v>338</v>
      </c>
      <c r="R307" s="9" t="s">
        <v>339</v>
      </c>
      <c r="S307" s="9" t="s">
        <v>17</v>
      </c>
      <c r="W307" s="23"/>
    </row>
    <row r="308" spans="1:23" ht="51.5" customHeight="1" x14ac:dyDescent="0.35">
      <c r="A308" s="9" t="s">
        <v>1539</v>
      </c>
      <c r="B308" s="9" t="s">
        <v>350</v>
      </c>
      <c r="C308" s="9" t="s">
        <v>351</v>
      </c>
      <c r="D308" s="9" t="str">
        <f>B308&amp;" - "&amp;C308</f>
        <v>Operational processes - Operational efficiency</v>
      </c>
      <c r="E308" s="9" t="s">
        <v>8</v>
      </c>
      <c r="G308" s="9" t="s">
        <v>1086</v>
      </c>
      <c r="H308" s="9" t="str">
        <f>IF(E308="x","Economic - "&amp;G308,"Environmental - "&amp;G308)</f>
        <v>Economic - Cost</v>
      </c>
      <c r="I308" s="12" t="s">
        <v>435</v>
      </c>
      <c r="J308" s="9" t="s">
        <v>1131</v>
      </c>
      <c r="K308" s="9" t="s">
        <v>10</v>
      </c>
      <c r="L308" s="9" t="s">
        <v>16</v>
      </c>
      <c r="M308" s="9" t="s">
        <v>468</v>
      </c>
      <c r="N308" s="9">
        <f>LEN(O308) - LEN(SUBSTITUTE(O308, ";", ""))+1</f>
        <v>1</v>
      </c>
      <c r="O308" s="9" t="s">
        <v>1001</v>
      </c>
      <c r="P308" s="9" t="s">
        <v>69</v>
      </c>
      <c r="Q308" s="9" t="s">
        <v>244</v>
      </c>
      <c r="R308" s="9" t="s">
        <v>1346</v>
      </c>
      <c r="S308" s="9" t="s">
        <v>17</v>
      </c>
      <c r="W308" s="23"/>
    </row>
    <row r="309" spans="1:23" ht="51.5" customHeight="1" x14ac:dyDescent="0.35">
      <c r="A309" s="9" t="s">
        <v>1540</v>
      </c>
      <c r="B309" s="9" t="s">
        <v>350</v>
      </c>
      <c r="C309" s="9" t="s">
        <v>351</v>
      </c>
      <c r="D309" s="9" t="str">
        <f>B309&amp;" - "&amp;C309</f>
        <v>Operational processes - Operational efficiency</v>
      </c>
      <c r="E309" s="9" t="s">
        <v>8</v>
      </c>
      <c r="G309" s="9" t="s">
        <v>1090</v>
      </c>
      <c r="H309" s="9" t="str">
        <f>IF(E309="x","Economic - "&amp;G309,"Environmental - "&amp;G309)</f>
        <v>Economic - Other</v>
      </c>
      <c r="I309" s="12" t="s">
        <v>436</v>
      </c>
      <c r="J309" s="9" t="s">
        <v>1094</v>
      </c>
      <c r="K309" s="9" t="s">
        <v>10</v>
      </c>
      <c r="L309" s="9" t="s">
        <v>1274</v>
      </c>
      <c r="M309" s="9" t="s">
        <v>468</v>
      </c>
      <c r="N309" s="9">
        <f>LEN(O309) - LEN(SUBSTITUTE(O309, ";", ""))+1</f>
        <v>9</v>
      </c>
      <c r="O309" s="9" t="s">
        <v>1983</v>
      </c>
      <c r="P309" s="9" t="s">
        <v>50</v>
      </c>
      <c r="Q309" s="9" t="s">
        <v>2130</v>
      </c>
      <c r="R309" s="9" t="s">
        <v>1286</v>
      </c>
      <c r="S309" s="9" t="s">
        <v>1826</v>
      </c>
      <c r="W309" s="23"/>
    </row>
    <row r="310" spans="1:23" ht="51.5" customHeight="1" x14ac:dyDescent="0.35">
      <c r="A310" s="9" t="s">
        <v>1568</v>
      </c>
      <c r="B310" s="9" t="s">
        <v>350</v>
      </c>
      <c r="C310" s="9" t="s">
        <v>351</v>
      </c>
      <c r="D310" s="9" t="str">
        <f>B310&amp;" - "&amp;C310</f>
        <v>Operational processes - Operational efficiency</v>
      </c>
      <c r="E310" s="9" t="s">
        <v>8</v>
      </c>
      <c r="G310" s="9" t="s">
        <v>1090</v>
      </c>
      <c r="H310" s="9" t="str">
        <f>IF(E310="x","Economic - "&amp;G310,"Environmental - "&amp;G310)</f>
        <v>Economic - Other</v>
      </c>
      <c r="I310" s="12" t="s">
        <v>498</v>
      </c>
      <c r="J310" s="9" t="s">
        <v>499</v>
      </c>
      <c r="K310" s="9" t="s">
        <v>10</v>
      </c>
      <c r="L310" s="9" t="s">
        <v>1273</v>
      </c>
      <c r="M310" s="9" t="s">
        <v>468</v>
      </c>
      <c r="N310" s="9">
        <f>LEN(O310) - LEN(SUBSTITUTE(O310, ";", ""))+1</f>
        <v>1</v>
      </c>
      <c r="O310" s="9" t="s">
        <v>96</v>
      </c>
      <c r="P310" s="9" t="s">
        <v>29</v>
      </c>
      <c r="Q310" s="9" t="s">
        <v>17</v>
      </c>
      <c r="R310" s="9" t="s">
        <v>17</v>
      </c>
      <c r="S310" s="9" t="s">
        <v>1821</v>
      </c>
      <c r="W310" s="23"/>
    </row>
    <row r="311" spans="1:23" ht="51.5" customHeight="1" x14ac:dyDescent="0.35">
      <c r="A311" s="9" t="s">
        <v>1569</v>
      </c>
      <c r="B311" s="9" t="s">
        <v>350</v>
      </c>
      <c r="C311" s="9" t="s">
        <v>351</v>
      </c>
      <c r="D311" s="9" t="str">
        <f>B311&amp;" - "&amp;C311</f>
        <v>Operational processes - Operational efficiency</v>
      </c>
      <c r="E311" s="9" t="s">
        <v>8</v>
      </c>
      <c r="G311" s="9" t="s">
        <v>1090</v>
      </c>
      <c r="H311" s="9" t="str">
        <f>IF(E311="x","Economic - "&amp;G311,"Environmental - "&amp;G311)</f>
        <v>Economic - Other</v>
      </c>
      <c r="I311" s="12" t="s">
        <v>500</v>
      </c>
      <c r="J311" s="9" t="s">
        <v>1134</v>
      </c>
      <c r="K311" s="9" t="s">
        <v>10</v>
      </c>
      <c r="L311" s="9" t="s">
        <v>16</v>
      </c>
      <c r="M311" s="9" t="s">
        <v>468</v>
      </c>
      <c r="N311" s="9">
        <f>LEN(O311) - LEN(SUBSTITUTE(O311, ";", ""))+1</f>
        <v>2</v>
      </c>
      <c r="O311" s="9" t="s">
        <v>180</v>
      </c>
      <c r="P311" s="9" t="s">
        <v>84</v>
      </c>
      <c r="Q311" s="9" t="s">
        <v>1309</v>
      </c>
      <c r="R311" s="9" t="s">
        <v>1292</v>
      </c>
      <c r="S311" s="9" t="s">
        <v>17</v>
      </c>
      <c r="W311" s="23"/>
    </row>
    <row r="312" spans="1:23" ht="51.5" customHeight="1" x14ac:dyDescent="0.35">
      <c r="A312" s="9" t="s">
        <v>1570</v>
      </c>
      <c r="B312" s="9" t="s">
        <v>350</v>
      </c>
      <c r="C312" s="9" t="s">
        <v>351</v>
      </c>
      <c r="D312" s="9" t="str">
        <f>B312&amp;" - "&amp;C312</f>
        <v>Operational processes - Operational efficiency</v>
      </c>
      <c r="E312" s="9" t="s">
        <v>8</v>
      </c>
      <c r="G312" s="9" t="s">
        <v>1086</v>
      </c>
      <c r="H312" s="9" t="str">
        <f>IF(E312="x","Economic - "&amp;G312,"Environmental - "&amp;G312)</f>
        <v>Economic - Cost</v>
      </c>
      <c r="I312" s="12" t="s">
        <v>501</v>
      </c>
      <c r="J312" s="9" t="s">
        <v>502</v>
      </c>
      <c r="K312" s="9" t="s">
        <v>10</v>
      </c>
      <c r="L312" s="9" t="s">
        <v>19</v>
      </c>
      <c r="M312" s="9" t="s">
        <v>468</v>
      </c>
      <c r="N312" s="9">
        <f>LEN(O312) - LEN(SUBSTITUTE(O312, ";", ""))+1</f>
        <v>6</v>
      </c>
      <c r="O312" s="9" t="s">
        <v>1910</v>
      </c>
      <c r="P312" s="9" t="s">
        <v>13</v>
      </c>
      <c r="Q312" s="9" t="s">
        <v>2105</v>
      </c>
      <c r="R312" s="9" t="s">
        <v>1286</v>
      </c>
      <c r="S312" s="9" t="s">
        <v>1826</v>
      </c>
      <c r="W312" s="23"/>
    </row>
    <row r="313" spans="1:23" ht="51.5" customHeight="1" x14ac:dyDescent="0.35">
      <c r="A313" s="9" t="s">
        <v>2073</v>
      </c>
      <c r="B313" s="9" t="s">
        <v>350</v>
      </c>
      <c r="C313" s="9" t="s">
        <v>351</v>
      </c>
      <c r="D313" s="9" t="str">
        <f>B313&amp;" - "&amp;C313</f>
        <v>Operational processes - Operational efficiency</v>
      </c>
      <c r="E313" s="9" t="s">
        <v>8</v>
      </c>
      <c r="G313" s="9" t="s">
        <v>1090</v>
      </c>
      <c r="H313" s="9" t="str">
        <f>IF(E313="x","Economic - "&amp;G313,"Environmental - "&amp;G313)</f>
        <v>Economic - Other</v>
      </c>
      <c r="I313" s="12" t="s">
        <v>1961</v>
      </c>
      <c r="J313" s="9" t="s">
        <v>1974</v>
      </c>
      <c r="K313" s="9" t="s">
        <v>10</v>
      </c>
      <c r="L313" s="9" t="s">
        <v>1973</v>
      </c>
      <c r="M313" s="9" t="s">
        <v>468</v>
      </c>
      <c r="N313" s="9">
        <f>LEN(O313) - LEN(SUBSTITUTE(O313, ";", ""))+1</f>
        <v>2</v>
      </c>
      <c r="O313" s="9" t="s">
        <v>1052</v>
      </c>
      <c r="P313" s="37" t="s">
        <v>84</v>
      </c>
      <c r="Q313" s="37" t="s">
        <v>1310</v>
      </c>
      <c r="R313" s="37" t="s">
        <v>85</v>
      </c>
      <c r="S313" s="37" t="s">
        <v>17</v>
      </c>
      <c r="W313" s="23"/>
    </row>
    <row r="314" spans="1:23" ht="51.5" customHeight="1" x14ac:dyDescent="0.35">
      <c r="A314" s="9" t="s">
        <v>2074</v>
      </c>
      <c r="B314" s="9" t="s">
        <v>350</v>
      </c>
      <c r="C314" s="9" t="s">
        <v>351</v>
      </c>
      <c r="D314" s="9" t="str">
        <f>B314&amp;" - "&amp;C314</f>
        <v>Operational processes - Operational efficiency</v>
      </c>
      <c r="E314" s="9" t="s">
        <v>8</v>
      </c>
      <c r="G314" s="9" t="s">
        <v>1090</v>
      </c>
      <c r="H314" s="9" t="str">
        <f>IF(E314="x","Economic - "&amp;G314,"Environmental - "&amp;G314)</f>
        <v>Economic - Other</v>
      </c>
      <c r="I314" s="12" t="s">
        <v>1962</v>
      </c>
      <c r="J314" s="9" t="s">
        <v>1976</v>
      </c>
      <c r="K314" s="9" t="s">
        <v>10</v>
      </c>
      <c r="L314" s="9" t="s">
        <v>1975</v>
      </c>
      <c r="M314" s="9" t="s">
        <v>468</v>
      </c>
      <c r="N314" s="9">
        <f>LEN(O314) - LEN(SUBSTITUTE(O314, ";", ""))+1</f>
        <v>3</v>
      </c>
      <c r="O314" s="9" t="s">
        <v>1982</v>
      </c>
      <c r="P314" s="9" t="s">
        <v>106</v>
      </c>
      <c r="Q314" s="9" t="s">
        <v>1310</v>
      </c>
      <c r="R314" s="9" t="s">
        <v>85</v>
      </c>
      <c r="S314" s="9" t="s">
        <v>17</v>
      </c>
      <c r="W314" s="23"/>
    </row>
    <row r="315" spans="1:23" ht="51.5" customHeight="1" x14ac:dyDescent="0.35">
      <c r="A315" s="9" t="s">
        <v>2075</v>
      </c>
      <c r="B315" s="9" t="s">
        <v>350</v>
      </c>
      <c r="C315" s="9" t="s">
        <v>351</v>
      </c>
      <c r="D315" s="9" t="str">
        <f>B315&amp;" - "&amp;C315</f>
        <v>Operational processes - Operational efficiency</v>
      </c>
      <c r="E315" s="9" t="s">
        <v>8</v>
      </c>
      <c r="G315" s="9" t="s">
        <v>1090</v>
      </c>
      <c r="H315" s="9" t="str">
        <f>IF(E315="x","Economic - "&amp;G315,"Environmental - "&amp;G315)</f>
        <v>Economic - Other</v>
      </c>
      <c r="I315" s="12" t="s">
        <v>1963</v>
      </c>
      <c r="J315" s="9" t="s">
        <v>1979</v>
      </c>
      <c r="K315" s="9" t="s">
        <v>10</v>
      </c>
      <c r="L315" s="9" t="s">
        <v>1980</v>
      </c>
      <c r="M315" s="9" t="s">
        <v>468</v>
      </c>
      <c r="N315" s="9">
        <f>LEN(O315) - LEN(SUBSTITUTE(O315, ";", ""))+1</f>
        <v>2</v>
      </c>
      <c r="O315" s="9" t="s">
        <v>1052</v>
      </c>
      <c r="P315" s="9" t="s">
        <v>84</v>
      </c>
      <c r="Q315" s="9" t="s">
        <v>1310</v>
      </c>
      <c r="R315" s="9" t="s">
        <v>85</v>
      </c>
      <c r="S315" s="9" t="s">
        <v>17</v>
      </c>
      <c r="W315" s="23"/>
    </row>
    <row r="316" spans="1:23" ht="51.5" customHeight="1" x14ac:dyDescent="0.35">
      <c r="A316" s="9" t="s">
        <v>2076</v>
      </c>
      <c r="B316" s="9" t="s">
        <v>350</v>
      </c>
      <c r="C316" s="9" t="s">
        <v>351</v>
      </c>
      <c r="D316" s="9" t="str">
        <f>B316&amp;" - "&amp;C316</f>
        <v>Operational processes - Operational efficiency</v>
      </c>
      <c r="F316" s="9" t="s">
        <v>8</v>
      </c>
      <c r="G316" s="9" t="s">
        <v>1090</v>
      </c>
      <c r="H316" s="9" t="str">
        <f>IF(E316="x","Economic - "&amp;G316,"Environmental - "&amp;G316)</f>
        <v>Environmental - Other</v>
      </c>
      <c r="I316" s="12" t="s">
        <v>1964</v>
      </c>
      <c r="J316" s="9" t="s">
        <v>1977</v>
      </c>
      <c r="K316" s="9" t="s">
        <v>10</v>
      </c>
      <c r="L316" s="9" t="s">
        <v>1978</v>
      </c>
      <c r="M316" s="9" t="s">
        <v>468</v>
      </c>
      <c r="N316" s="9">
        <f>LEN(O316) - LEN(SUBSTITUTE(O316, ";", ""))+1</f>
        <v>2</v>
      </c>
      <c r="O316" s="9" t="s">
        <v>1052</v>
      </c>
      <c r="P316" s="9" t="s">
        <v>84</v>
      </c>
      <c r="Q316" s="9" t="s">
        <v>1310</v>
      </c>
      <c r="R316" s="9" t="s">
        <v>85</v>
      </c>
      <c r="S316" s="9" t="s">
        <v>17</v>
      </c>
      <c r="W316" s="23"/>
    </row>
    <row r="317" spans="1:23" ht="51.5" customHeight="1" x14ac:dyDescent="0.35">
      <c r="A317" s="9" t="s">
        <v>2067</v>
      </c>
      <c r="B317" s="9" t="s">
        <v>350</v>
      </c>
      <c r="C317" s="9" t="s">
        <v>437</v>
      </c>
      <c r="D317" s="9" t="str">
        <f>B317&amp;" - "&amp;C317</f>
        <v>Operational processes - Design of processes</v>
      </c>
      <c r="E317" s="9" t="s">
        <v>8</v>
      </c>
      <c r="G317" s="9" t="s">
        <v>1090</v>
      </c>
      <c r="H317" s="9" t="str">
        <f>IF(E317="x","Economic - "&amp;G317,"Environmental - "&amp;G317)</f>
        <v>Economic - Other</v>
      </c>
      <c r="I317" s="12" t="s">
        <v>438</v>
      </c>
      <c r="J317" s="9" t="s">
        <v>1163</v>
      </c>
      <c r="K317" s="9" t="s">
        <v>342</v>
      </c>
      <c r="L317" s="9" t="s">
        <v>343</v>
      </c>
      <c r="M317" s="9" t="s">
        <v>468</v>
      </c>
      <c r="N317" s="9">
        <f>LEN(O317) - LEN(SUBSTITUTE(O317, ";", ""))+1</f>
        <v>1</v>
      </c>
      <c r="O317" s="9" t="s">
        <v>344</v>
      </c>
      <c r="P317" s="9" t="s">
        <v>84</v>
      </c>
      <c r="Q317" s="9" t="s">
        <v>17</v>
      </c>
      <c r="R317" s="9" t="s">
        <v>17</v>
      </c>
      <c r="S317" s="9" t="s">
        <v>17</v>
      </c>
      <c r="W317" s="23"/>
    </row>
    <row r="318" spans="1:23" ht="51.5" customHeight="1" x14ac:dyDescent="0.35">
      <c r="A318" s="9" t="s">
        <v>1541</v>
      </c>
      <c r="B318" s="9" t="s">
        <v>350</v>
      </c>
      <c r="C318" s="9" t="s">
        <v>437</v>
      </c>
      <c r="D318" s="9" t="str">
        <f>B318&amp;" - "&amp;C318</f>
        <v>Operational processes - Design of processes</v>
      </c>
      <c r="E318" s="9" t="s">
        <v>8</v>
      </c>
      <c r="G318" s="9" t="s">
        <v>1090</v>
      </c>
      <c r="H318" s="9" t="str">
        <f>IF(E318="x","Economic - "&amp;G318,"Environmental - "&amp;G318)</f>
        <v>Economic - Other</v>
      </c>
      <c r="I318" s="12" t="s">
        <v>439</v>
      </c>
      <c r="J318" s="9" t="s">
        <v>440</v>
      </c>
      <c r="K318" s="9" t="s">
        <v>10</v>
      </c>
      <c r="L318" s="9" t="s">
        <v>441</v>
      </c>
      <c r="M318" s="9" t="s">
        <v>468</v>
      </c>
      <c r="N318" s="9">
        <f>LEN(O318) - LEN(SUBSTITUTE(O318, ";", ""))+1</f>
        <v>1</v>
      </c>
      <c r="O318" s="9" t="s">
        <v>442</v>
      </c>
      <c r="P318" s="9" t="s">
        <v>29</v>
      </c>
      <c r="Q318" s="9" t="s">
        <v>443</v>
      </c>
      <c r="R318" s="9" t="s">
        <v>17</v>
      </c>
      <c r="S318" s="9" t="s">
        <v>17</v>
      </c>
      <c r="W318" s="23"/>
    </row>
    <row r="319" spans="1:23" ht="51.5" customHeight="1" x14ac:dyDescent="0.35">
      <c r="A319" s="9" t="s">
        <v>2068</v>
      </c>
      <c r="B319" s="9" t="s">
        <v>350</v>
      </c>
      <c r="C319" s="9" t="s">
        <v>437</v>
      </c>
      <c r="D319" s="9" t="str">
        <f>B319&amp;" - "&amp;C319</f>
        <v>Operational processes - Design of processes</v>
      </c>
      <c r="E319" s="9" t="s">
        <v>8</v>
      </c>
      <c r="G319" s="9" t="s">
        <v>1090</v>
      </c>
      <c r="H319" s="9" t="str">
        <f>IF(E319="x","Economic - "&amp;G319,"Environmental - "&amp;G319)</f>
        <v>Economic - Other</v>
      </c>
      <c r="I319" s="12" t="s">
        <v>444</v>
      </c>
      <c r="J319" s="9" t="s">
        <v>445</v>
      </c>
      <c r="K319" s="9" t="s">
        <v>10</v>
      </c>
      <c r="L319" s="9" t="s">
        <v>57</v>
      </c>
      <c r="M319" s="9" t="s">
        <v>468</v>
      </c>
      <c r="N319" s="9">
        <f>LEN(O319) - LEN(SUBSTITUTE(O319, ";", ""))+1</f>
        <v>1</v>
      </c>
      <c r="O319" s="9" t="s">
        <v>442</v>
      </c>
      <c r="P319" s="9" t="s">
        <v>29</v>
      </c>
      <c r="Q319" s="9" t="s">
        <v>443</v>
      </c>
      <c r="R319" s="9" t="s">
        <v>17</v>
      </c>
      <c r="S319" s="9" t="s">
        <v>17</v>
      </c>
      <c r="W319" s="23"/>
    </row>
    <row r="320" spans="1:23" ht="51.5" customHeight="1" x14ac:dyDescent="0.35">
      <c r="A320" s="9" t="s">
        <v>2069</v>
      </c>
      <c r="B320" s="9" t="s">
        <v>350</v>
      </c>
      <c r="C320" s="9" t="s">
        <v>437</v>
      </c>
      <c r="D320" s="9" t="str">
        <f>B320&amp;" - "&amp;C320</f>
        <v>Operational processes - Design of processes</v>
      </c>
      <c r="E320" s="9" t="s">
        <v>8</v>
      </c>
      <c r="G320" s="9" t="s">
        <v>1090</v>
      </c>
      <c r="H320" s="9" t="str">
        <f>IF(E320="x","Economic - "&amp;G320,"Environmental - "&amp;G320)</f>
        <v>Economic - Other</v>
      </c>
      <c r="I320" s="12" t="s">
        <v>446</v>
      </c>
      <c r="J320" s="9" t="s">
        <v>447</v>
      </c>
      <c r="K320" s="9" t="s">
        <v>10</v>
      </c>
      <c r="L320" s="9" t="s">
        <v>57</v>
      </c>
      <c r="M320" s="9" t="s">
        <v>468</v>
      </c>
      <c r="N320" s="9">
        <f>LEN(O320) - LEN(SUBSTITUTE(O320, ";", ""))+1</f>
        <v>1</v>
      </c>
      <c r="O320" s="9" t="s">
        <v>442</v>
      </c>
      <c r="P320" s="9" t="s">
        <v>29</v>
      </c>
      <c r="Q320" s="9" t="s">
        <v>443</v>
      </c>
      <c r="R320" s="9" t="s">
        <v>17</v>
      </c>
      <c r="S320" s="9" t="s">
        <v>17</v>
      </c>
      <c r="W320" s="23"/>
    </row>
    <row r="321" spans="1:23" ht="51.5" customHeight="1" x14ac:dyDescent="0.35">
      <c r="A321" s="9" t="s">
        <v>2070</v>
      </c>
      <c r="B321" s="9" t="s">
        <v>350</v>
      </c>
      <c r="C321" s="9" t="s">
        <v>437</v>
      </c>
      <c r="D321" s="9" t="str">
        <f>B321&amp;" - "&amp;C321</f>
        <v>Operational processes - Design of processes</v>
      </c>
      <c r="E321" s="9" t="s">
        <v>8</v>
      </c>
      <c r="G321" s="9" t="s">
        <v>1090</v>
      </c>
      <c r="H321" s="9" t="str">
        <f>IF(E321="x","Economic - "&amp;G321,"Environmental - "&amp;G321)</f>
        <v>Economic - Other</v>
      </c>
      <c r="I321" s="12" t="s">
        <v>448</v>
      </c>
      <c r="J321" s="9" t="s">
        <v>449</v>
      </c>
      <c r="K321" s="9" t="s">
        <v>10</v>
      </c>
      <c r="L321" s="9" t="s">
        <v>57</v>
      </c>
      <c r="M321" s="9" t="s">
        <v>468</v>
      </c>
      <c r="N321" s="9">
        <f>LEN(O321) - LEN(SUBSTITUTE(O321, ";", ""))+1</f>
        <v>1</v>
      </c>
      <c r="O321" s="9" t="s">
        <v>442</v>
      </c>
      <c r="P321" s="9" t="s">
        <v>29</v>
      </c>
      <c r="Q321" s="9" t="s">
        <v>443</v>
      </c>
      <c r="R321" s="9" t="s">
        <v>17</v>
      </c>
      <c r="S321" s="9" t="s">
        <v>17</v>
      </c>
      <c r="W321" s="23"/>
    </row>
    <row r="322" spans="1:23" ht="51.5" customHeight="1" x14ac:dyDescent="0.35">
      <c r="A322" s="9" t="s">
        <v>1542</v>
      </c>
      <c r="B322" s="9" t="s">
        <v>350</v>
      </c>
      <c r="C322" s="9" t="s">
        <v>437</v>
      </c>
      <c r="D322" s="9" t="str">
        <f>B322&amp;" - "&amp;C322</f>
        <v>Operational processes - Design of processes</v>
      </c>
      <c r="F322" s="9" t="s">
        <v>8</v>
      </c>
      <c r="G322" s="9" t="s">
        <v>1197</v>
      </c>
      <c r="H322" s="9" t="str">
        <f>IF(E322="x","Economic - "&amp;G322,"Environmental - "&amp;G322)</f>
        <v>Environmental - Resource Use &amp; Circular Economy</v>
      </c>
      <c r="I322" s="12" t="s">
        <v>450</v>
      </c>
      <c r="J322" s="9" t="s">
        <v>1164</v>
      </c>
      <c r="K322" s="9" t="s">
        <v>10</v>
      </c>
      <c r="L322" s="9" t="s">
        <v>16</v>
      </c>
      <c r="M322" s="9" t="s">
        <v>468</v>
      </c>
      <c r="N322" s="9">
        <f>LEN(O322) - LEN(SUBSTITUTE(O322, ";", ""))+1</f>
        <v>1</v>
      </c>
      <c r="O322" s="9" t="s">
        <v>38</v>
      </c>
      <c r="P322" s="9" t="s">
        <v>39</v>
      </c>
      <c r="Q322" s="9" t="s">
        <v>40</v>
      </c>
      <c r="R322" s="9" t="s">
        <v>17</v>
      </c>
      <c r="S322" s="9" t="s">
        <v>1825</v>
      </c>
      <c r="W322" s="23"/>
    </row>
    <row r="323" spans="1:23" ht="51.5" customHeight="1" x14ac:dyDescent="0.35">
      <c r="A323" s="9" t="s">
        <v>1543</v>
      </c>
      <c r="B323" s="9" t="s">
        <v>350</v>
      </c>
      <c r="C323" s="9" t="s">
        <v>437</v>
      </c>
      <c r="D323" s="9" t="str">
        <f>B323&amp;" - "&amp;C323</f>
        <v>Operational processes - Design of processes</v>
      </c>
      <c r="E323" s="9" t="s">
        <v>8</v>
      </c>
      <c r="G323" s="9" t="s">
        <v>1090</v>
      </c>
      <c r="H323" s="9" t="str">
        <f>IF(E323="x","Economic - "&amp;G323,"Environmental - "&amp;G323)</f>
        <v>Economic - Other</v>
      </c>
      <c r="I323" s="12" t="s">
        <v>1957</v>
      </c>
      <c r="J323" s="9" t="s">
        <v>1958</v>
      </c>
      <c r="K323" s="9" t="s">
        <v>10</v>
      </c>
      <c r="L323" s="9" t="s">
        <v>16</v>
      </c>
      <c r="M323" s="9" t="s">
        <v>468</v>
      </c>
      <c r="N323" s="9">
        <f>LEN(O323) - LEN(SUBSTITUTE(O323, ";", ""))+1</f>
        <v>1</v>
      </c>
      <c r="O323" s="9" t="s">
        <v>344</v>
      </c>
      <c r="P323" s="9" t="s">
        <v>84</v>
      </c>
      <c r="Q323" s="9" t="s">
        <v>17</v>
      </c>
      <c r="R323" s="9" t="s">
        <v>17</v>
      </c>
      <c r="S323" s="9" t="s">
        <v>17</v>
      </c>
      <c r="W323" s="23"/>
    </row>
    <row r="324" spans="1:23" ht="51.5" customHeight="1" x14ac:dyDescent="0.35">
      <c r="A324" s="9" t="s">
        <v>1544</v>
      </c>
      <c r="B324" s="9" t="s">
        <v>350</v>
      </c>
      <c r="C324" s="9" t="s">
        <v>451</v>
      </c>
      <c r="D324" s="9" t="str">
        <f>B324&amp;" - "&amp;C324</f>
        <v>Operational processes - Design of products</v>
      </c>
      <c r="E324" s="9" t="s">
        <v>8</v>
      </c>
      <c r="G324" s="9" t="s">
        <v>518</v>
      </c>
      <c r="H324" s="9" t="str">
        <f>IF(E324="x","Economic - "&amp;G324,"Environmental - "&amp;G324)</f>
        <v>Economic - Investments</v>
      </c>
      <c r="I324" s="12" t="s">
        <v>452</v>
      </c>
      <c r="J324" s="9" t="s">
        <v>453</v>
      </c>
      <c r="K324" s="9" t="s">
        <v>10</v>
      </c>
      <c r="L324" s="9" t="s">
        <v>57</v>
      </c>
      <c r="M324" s="9" t="s">
        <v>468</v>
      </c>
      <c r="N324" s="9">
        <f>LEN(O324) - LEN(SUBSTITUTE(O324, ";", ""))+1</f>
        <v>1</v>
      </c>
      <c r="O324" s="9" t="s">
        <v>255</v>
      </c>
      <c r="P324" s="9" t="s">
        <v>39</v>
      </c>
      <c r="Q324" s="9" t="s">
        <v>2112</v>
      </c>
      <c r="R324" s="9" t="s">
        <v>17</v>
      </c>
      <c r="S324" s="9" t="s">
        <v>1830</v>
      </c>
      <c r="W324" s="23"/>
    </row>
    <row r="325" spans="1:23" ht="51.5" customHeight="1" x14ac:dyDescent="0.35">
      <c r="A325" s="9" t="s">
        <v>2071</v>
      </c>
      <c r="B325" s="9" t="s">
        <v>350</v>
      </c>
      <c r="C325" s="9" t="s">
        <v>451</v>
      </c>
      <c r="D325" s="9" t="str">
        <f>B325&amp;" - "&amp;C325</f>
        <v>Operational processes - Design of products</v>
      </c>
      <c r="E325" s="9" t="s">
        <v>8</v>
      </c>
      <c r="G325" s="9" t="s">
        <v>518</v>
      </c>
      <c r="H325" s="9" t="str">
        <f>IF(E325="x","Economic - "&amp;G325,"Environmental - "&amp;G325)</f>
        <v>Economic - Investments</v>
      </c>
      <c r="I325" s="12" t="s">
        <v>454</v>
      </c>
      <c r="J325" s="9" t="s">
        <v>455</v>
      </c>
      <c r="K325" s="9" t="s">
        <v>10</v>
      </c>
      <c r="L325" s="9" t="s">
        <v>57</v>
      </c>
      <c r="M325" s="9" t="s">
        <v>468</v>
      </c>
      <c r="N325" s="9">
        <f>LEN(O325) - LEN(SUBSTITUTE(O325, ";", ""))+1</f>
        <v>1</v>
      </c>
      <c r="O325" s="9" t="s">
        <v>207</v>
      </c>
      <c r="P325" s="9" t="s">
        <v>39</v>
      </c>
      <c r="Q325" s="9" t="s">
        <v>17</v>
      </c>
      <c r="R325" s="9" t="s">
        <v>17</v>
      </c>
      <c r="S325" s="9" t="s">
        <v>17</v>
      </c>
      <c r="W325" s="23"/>
    </row>
    <row r="326" spans="1:23" ht="51.5" customHeight="1" x14ac:dyDescent="0.35">
      <c r="A326" s="9" t="s">
        <v>1545</v>
      </c>
      <c r="B326" s="9" t="s">
        <v>350</v>
      </c>
      <c r="C326" s="9" t="s">
        <v>451</v>
      </c>
      <c r="D326" s="9" t="str">
        <f>B326&amp;" - "&amp;C326</f>
        <v>Operational processes - Design of products</v>
      </c>
      <c r="E326" s="9" t="s">
        <v>8</v>
      </c>
      <c r="G326" s="9" t="s">
        <v>1086</v>
      </c>
      <c r="H326" s="9" t="str">
        <f>IF(E326="x","Economic - "&amp;G326,"Environmental - "&amp;G326)</f>
        <v>Economic - Cost</v>
      </c>
      <c r="I326" s="12" t="s">
        <v>456</v>
      </c>
      <c r="J326" s="9" t="s">
        <v>457</v>
      </c>
      <c r="K326" s="9" t="s">
        <v>10</v>
      </c>
      <c r="L326" s="9" t="s">
        <v>19</v>
      </c>
      <c r="M326" s="9" t="s">
        <v>468</v>
      </c>
      <c r="N326" s="9">
        <f>LEN(O326) - LEN(SUBSTITUTE(O326, ";", ""))+1</f>
        <v>1</v>
      </c>
      <c r="O326" s="9" t="s">
        <v>458</v>
      </c>
      <c r="P326" s="9" t="s">
        <v>39</v>
      </c>
      <c r="Q326" s="9" t="s">
        <v>2119</v>
      </c>
      <c r="R326" s="9" t="s">
        <v>17</v>
      </c>
      <c r="S326" s="9" t="s">
        <v>1828</v>
      </c>
      <c r="W326" s="23"/>
    </row>
    <row r="327" spans="1:23" ht="51.5" customHeight="1" x14ac:dyDescent="0.35">
      <c r="A327" s="9" t="s">
        <v>1546</v>
      </c>
      <c r="B327" s="9" t="s">
        <v>350</v>
      </c>
      <c r="C327" s="9" t="s">
        <v>451</v>
      </c>
      <c r="D327" s="9" t="str">
        <f>B327&amp;" - "&amp;C327</f>
        <v>Operational processes - Design of products</v>
      </c>
      <c r="F327" s="9" t="s">
        <v>8</v>
      </c>
      <c r="G327" s="9" t="s">
        <v>1197</v>
      </c>
      <c r="H327" s="9" t="str">
        <f>IF(E327="x","Economic - "&amp;G327,"Environmental - "&amp;G327)</f>
        <v>Environmental - Resource Use &amp; Circular Economy</v>
      </c>
      <c r="I327" s="12" t="s">
        <v>1955</v>
      </c>
      <c r="J327" s="9" t="s">
        <v>1956</v>
      </c>
      <c r="K327" s="9" t="s">
        <v>342</v>
      </c>
      <c r="L327" s="9" t="s">
        <v>343</v>
      </c>
      <c r="M327" s="9" t="s">
        <v>468</v>
      </c>
      <c r="N327" s="9">
        <f>LEN(O327) - LEN(SUBSTITUTE(O327, ";", ""))+1</f>
        <v>1</v>
      </c>
      <c r="O327" s="9" t="s">
        <v>344</v>
      </c>
      <c r="P327" s="9" t="s">
        <v>84</v>
      </c>
      <c r="Q327" s="9" t="s">
        <v>17</v>
      </c>
      <c r="R327" s="9" t="s">
        <v>17</v>
      </c>
      <c r="S327" s="9" t="s">
        <v>17</v>
      </c>
      <c r="W327" s="23"/>
    </row>
    <row r="328" spans="1:23" ht="51.5" customHeight="1" x14ac:dyDescent="0.35">
      <c r="A328" s="9" t="s">
        <v>1547</v>
      </c>
      <c r="B328" s="9" t="s">
        <v>350</v>
      </c>
      <c r="C328" s="9" t="s">
        <v>451</v>
      </c>
      <c r="D328" s="9" t="str">
        <f>B328&amp;" - "&amp;C328</f>
        <v>Operational processes - Design of products</v>
      </c>
      <c r="F328" s="9" t="s">
        <v>8</v>
      </c>
      <c r="G328" s="9" t="s">
        <v>1197</v>
      </c>
      <c r="H328" s="9" t="str">
        <f>IF(E328="x","Economic - "&amp;G328,"Environmental - "&amp;G328)</f>
        <v>Environmental - Resource Use &amp; Circular Economy</v>
      </c>
      <c r="I328" s="12" t="s">
        <v>459</v>
      </c>
      <c r="J328" s="9" t="s">
        <v>1102</v>
      </c>
      <c r="K328" s="9" t="s">
        <v>10</v>
      </c>
      <c r="L328" s="9" t="s">
        <v>16</v>
      </c>
      <c r="M328" s="9" t="s">
        <v>468</v>
      </c>
      <c r="N328" s="9">
        <f>LEN(O328) - LEN(SUBSTITUTE(O328, ";", ""))+1</f>
        <v>4</v>
      </c>
      <c r="O328" s="9" t="s">
        <v>460</v>
      </c>
      <c r="P328" s="9" t="s">
        <v>14</v>
      </c>
      <c r="Q328" s="9" t="s">
        <v>1294</v>
      </c>
      <c r="R328" s="9" t="s">
        <v>1284</v>
      </c>
      <c r="S328" s="9" t="s">
        <v>17</v>
      </c>
      <c r="W328" s="23"/>
    </row>
    <row r="329" spans="1:23" ht="51.5" customHeight="1" x14ac:dyDescent="0.35">
      <c r="A329" s="9" t="s">
        <v>1548</v>
      </c>
      <c r="B329" s="9" t="s">
        <v>350</v>
      </c>
      <c r="C329" s="9" t="s">
        <v>451</v>
      </c>
      <c r="D329" s="9" t="str">
        <f>B329&amp;" - "&amp;C329</f>
        <v>Operational processes - Design of products</v>
      </c>
      <c r="F329" s="9" t="s">
        <v>8</v>
      </c>
      <c r="G329" s="9" t="s">
        <v>1197</v>
      </c>
      <c r="H329" s="9" t="str">
        <f>IF(E329="x","Economic - "&amp;G329,"Environmental - "&amp;G329)</f>
        <v>Environmental - Resource Use &amp; Circular Economy</v>
      </c>
      <c r="I329" s="12" t="s">
        <v>461</v>
      </c>
      <c r="J329" s="9" t="s">
        <v>1165</v>
      </c>
      <c r="K329" s="9" t="s">
        <v>10</v>
      </c>
      <c r="L329" s="9" t="s">
        <v>57</v>
      </c>
      <c r="M329" s="9" t="s">
        <v>468</v>
      </c>
      <c r="N329" s="9">
        <f>LEN(O329) - LEN(SUBSTITUTE(O329, ";", ""))+1</f>
        <v>1</v>
      </c>
      <c r="O329" s="9" t="s">
        <v>38</v>
      </c>
      <c r="P329" s="9" t="s">
        <v>39</v>
      </c>
      <c r="Q329" s="9" t="s">
        <v>40</v>
      </c>
      <c r="R329" s="9" t="s">
        <v>17</v>
      </c>
      <c r="S329" s="9" t="s">
        <v>1825</v>
      </c>
      <c r="W329" s="23"/>
    </row>
    <row r="330" spans="1:23" ht="51.5" customHeight="1" x14ac:dyDescent="0.35">
      <c r="A330" s="9" t="s">
        <v>1549</v>
      </c>
      <c r="B330" s="9" t="s">
        <v>350</v>
      </c>
      <c r="C330" s="9" t="s">
        <v>451</v>
      </c>
      <c r="D330" s="9" t="str">
        <f>B330&amp;" - "&amp;C330</f>
        <v>Operational processes - Design of products</v>
      </c>
      <c r="F330" s="9" t="s">
        <v>8</v>
      </c>
      <c r="G330" s="9" t="s">
        <v>1197</v>
      </c>
      <c r="H330" s="9" t="str">
        <f>IF(E330="x","Economic - "&amp;G330,"Environmental - "&amp;G330)</f>
        <v>Environmental - Resource Use &amp; Circular Economy</v>
      </c>
      <c r="I330" s="12" t="s">
        <v>462</v>
      </c>
      <c r="J330" s="9" t="s">
        <v>463</v>
      </c>
      <c r="K330" s="9" t="s">
        <v>10</v>
      </c>
      <c r="L330" s="9" t="s">
        <v>16</v>
      </c>
      <c r="M330" s="9" t="s">
        <v>468</v>
      </c>
      <c r="N330" s="9">
        <f>LEN(O330) - LEN(SUBSTITUTE(O330, ";", ""))+1</f>
        <v>1</v>
      </c>
      <c r="O330" s="9" t="s">
        <v>177</v>
      </c>
      <c r="P330" s="9" t="s">
        <v>74</v>
      </c>
      <c r="Q330" s="9" t="s">
        <v>17</v>
      </c>
      <c r="R330" s="9" t="s">
        <v>17</v>
      </c>
      <c r="S330" s="9" t="s">
        <v>17</v>
      </c>
      <c r="W330" s="23"/>
    </row>
    <row r="331" spans="1:23" ht="51.5" customHeight="1" x14ac:dyDescent="0.35">
      <c r="A331" s="9" t="s">
        <v>1550</v>
      </c>
      <c r="B331" s="9" t="s">
        <v>350</v>
      </c>
      <c r="C331" s="9" t="s">
        <v>451</v>
      </c>
      <c r="D331" s="9" t="str">
        <f>B331&amp;" - "&amp;C331</f>
        <v>Operational processes - Design of products</v>
      </c>
      <c r="F331" s="9" t="s">
        <v>8</v>
      </c>
      <c r="G331" s="9" t="s">
        <v>1197</v>
      </c>
      <c r="H331" s="9" t="str">
        <f>IF(E331="x","Economic - "&amp;G331,"Environmental - "&amp;G331)</f>
        <v>Environmental - Resource Use &amp; Circular Economy</v>
      </c>
      <c r="I331" s="12" t="s">
        <v>464</v>
      </c>
      <c r="J331" s="9" t="s">
        <v>465</v>
      </c>
      <c r="K331" s="9" t="s">
        <v>10</v>
      </c>
      <c r="L331" s="9" t="s">
        <v>16</v>
      </c>
      <c r="M331" s="9" t="s">
        <v>468</v>
      </c>
      <c r="N331" s="9">
        <f>LEN(O331) - LEN(SUBSTITUTE(O331, ";", ""))+1</f>
        <v>1</v>
      </c>
      <c r="O331" s="9" t="s">
        <v>38</v>
      </c>
      <c r="P331" s="9" t="s">
        <v>39</v>
      </c>
      <c r="Q331" s="9" t="s">
        <v>40</v>
      </c>
      <c r="R331" s="9" t="s">
        <v>17</v>
      </c>
      <c r="S331" s="9" t="s">
        <v>1825</v>
      </c>
      <c r="W331" s="23"/>
    </row>
    <row r="332" spans="1:23" ht="51.5" customHeight="1" x14ac:dyDescent="0.35">
      <c r="A332" s="9" t="s">
        <v>1551</v>
      </c>
      <c r="B332" s="9" t="s">
        <v>350</v>
      </c>
      <c r="C332" s="9" t="s">
        <v>451</v>
      </c>
      <c r="D332" s="9" t="str">
        <f>B332&amp;" - "&amp;C332</f>
        <v>Operational processes - Design of products</v>
      </c>
      <c r="F332" s="9" t="s">
        <v>8</v>
      </c>
      <c r="G332" s="9" t="s">
        <v>1197</v>
      </c>
      <c r="H332" s="9" t="str">
        <f>IF(E332="x","Economic - "&amp;G332,"Environmental - "&amp;G332)</f>
        <v>Environmental - Resource Use &amp; Circular Economy</v>
      </c>
      <c r="I332" s="12" t="s">
        <v>1167</v>
      </c>
      <c r="J332" s="9" t="s">
        <v>1166</v>
      </c>
      <c r="K332" s="9" t="s">
        <v>10</v>
      </c>
      <c r="L332" s="9" t="s">
        <v>16</v>
      </c>
      <c r="M332" s="9" t="s">
        <v>468</v>
      </c>
      <c r="N332" s="9">
        <f>LEN(O332) - LEN(SUBSTITUTE(O332, ";", ""))+1</f>
        <v>1</v>
      </c>
      <c r="O332" s="9" t="s">
        <v>38</v>
      </c>
      <c r="P332" s="9" t="s">
        <v>39</v>
      </c>
      <c r="Q332" s="9" t="s">
        <v>40</v>
      </c>
      <c r="R332" s="9" t="s">
        <v>17</v>
      </c>
      <c r="S332" s="9" t="s">
        <v>1825</v>
      </c>
      <c r="W332" s="23"/>
    </row>
    <row r="333" spans="1:23" ht="51.5" customHeight="1" x14ac:dyDescent="0.35">
      <c r="A333" s="9" t="s">
        <v>1552</v>
      </c>
      <c r="B333" s="9" t="s">
        <v>350</v>
      </c>
      <c r="C333" s="9" t="s">
        <v>451</v>
      </c>
      <c r="D333" s="9" t="str">
        <f>B333&amp;" - "&amp;C333</f>
        <v>Operational processes - Design of products</v>
      </c>
      <c r="F333" s="9" t="s">
        <v>8</v>
      </c>
      <c r="G333" s="9" t="s">
        <v>1197</v>
      </c>
      <c r="H333" s="9" t="str">
        <f>IF(E333="x","Economic - "&amp;G333,"Environmental - "&amp;G333)</f>
        <v>Environmental - Resource Use &amp; Circular Economy</v>
      </c>
      <c r="I333" s="12" t="s">
        <v>466</v>
      </c>
      <c r="J333" s="9" t="s">
        <v>467</v>
      </c>
      <c r="K333" s="9" t="s">
        <v>10</v>
      </c>
      <c r="L333" s="9" t="s">
        <v>57</v>
      </c>
      <c r="M333" s="9" t="s">
        <v>468</v>
      </c>
      <c r="N333" s="9">
        <f>LEN(O333) - LEN(SUBSTITUTE(O333, ";", ""))+1</f>
        <v>1</v>
      </c>
      <c r="O333" s="9" t="s">
        <v>38</v>
      </c>
      <c r="P333" s="9" t="s">
        <v>39</v>
      </c>
      <c r="Q333" s="9" t="s">
        <v>40</v>
      </c>
      <c r="R333" s="9" t="s">
        <v>17</v>
      </c>
      <c r="S333" s="9" t="s">
        <v>1825</v>
      </c>
      <c r="W333" s="23"/>
    </row>
    <row r="334" spans="1:23" ht="51.5" customHeight="1" x14ac:dyDescent="0.35">
      <c r="A334" s="9" t="s">
        <v>1553</v>
      </c>
      <c r="B334" s="9" t="s">
        <v>350</v>
      </c>
      <c r="C334" s="9" t="s">
        <v>451</v>
      </c>
      <c r="D334" s="9" t="str">
        <f>B334&amp;" - "&amp;C334</f>
        <v>Operational processes - Design of products</v>
      </c>
      <c r="F334" s="9" t="s">
        <v>8</v>
      </c>
      <c r="G334" s="9" t="s">
        <v>1197</v>
      </c>
      <c r="H334" s="9" t="str">
        <f>IF(E334="x","Economic - "&amp;G334,"Environmental - "&amp;G334)</f>
        <v>Environmental - Resource Use &amp; Circular Economy</v>
      </c>
      <c r="I334" s="12" t="s">
        <v>469</v>
      </c>
      <c r="J334" s="9" t="s">
        <v>470</v>
      </c>
      <c r="K334" s="9" t="s">
        <v>10</v>
      </c>
      <c r="L334" s="9" t="s">
        <v>16</v>
      </c>
      <c r="M334" s="9" t="s">
        <v>468</v>
      </c>
      <c r="N334" s="9">
        <f>LEN(O334) - LEN(SUBSTITUTE(O334, ";", ""))+1</f>
        <v>3</v>
      </c>
      <c r="O334" s="9" t="s">
        <v>2020</v>
      </c>
      <c r="P334" s="9" t="s">
        <v>50</v>
      </c>
      <c r="Q334" s="9" t="s">
        <v>1296</v>
      </c>
      <c r="R334" s="9" t="s">
        <v>1302</v>
      </c>
      <c r="S334" s="9" t="s">
        <v>1823</v>
      </c>
      <c r="W334" s="23"/>
    </row>
    <row r="335" spans="1:23" ht="51.5" customHeight="1" x14ac:dyDescent="0.35">
      <c r="A335" s="9" t="s">
        <v>1554</v>
      </c>
      <c r="B335" s="9" t="s">
        <v>350</v>
      </c>
      <c r="C335" s="9" t="s">
        <v>451</v>
      </c>
      <c r="D335" s="9" t="str">
        <f>B335&amp;" - "&amp;C335</f>
        <v>Operational processes - Design of products</v>
      </c>
      <c r="F335" s="9" t="s">
        <v>8</v>
      </c>
      <c r="G335" s="9" t="s">
        <v>1197</v>
      </c>
      <c r="H335" s="9" t="str">
        <f>IF(E335="x","Economic - "&amp;G335,"Environmental - "&amp;G335)</f>
        <v>Environmental - Resource Use &amp; Circular Economy</v>
      </c>
      <c r="I335" s="12" t="s">
        <v>1169</v>
      </c>
      <c r="J335" s="9" t="s">
        <v>1168</v>
      </c>
      <c r="K335" s="9" t="s">
        <v>10</v>
      </c>
      <c r="L335" s="9" t="s">
        <v>57</v>
      </c>
      <c r="M335" s="9" t="s">
        <v>468</v>
      </c>
      <c r="N335" s="9">
        <f>LEN(O335) - LEN(SUBSTITUTE(O335, ";", ""))+1</f>
        <v>1</v>
      </c>
      <c r="O335" s="9" t="s">
        <v>177</v>
      </c>
      <c r="P335" s="9" t="s">
        <v>74</v>
      </c>
      <c r="Q335" s="9" t="s">
        <v>17</v>
      </c>
      <c r="R335" s="9" t="s">
        <v>17</v>
      </c>
      <c r="S335" s="9" t="s">
        <v>17</v>
      </c>
      <c r="W335" s="23"/>
    </row>
    <row r="336" spans="1:23" ht="51.5" customHeight="1" x14ac:dyDescent="0.35">
      <c r="A336" s="9" t="s">
        <v>1555</v>
      </c>
      <c r="B336" s="9" t="s">
        <v>350</v>
      </c>
      <c r="C336" s="9" t="s">
        <v>451</v>
      </c>
      <c r="D336" s="9" t="str">
        <f>B336&amp;" - "&amp;C336</f>
        <v>Operational processes - Design of products</v>
      </c>
      <c r="F336" s="9" t="s">
        <v>8</v>
      </c>
      <c r="G336" s="9" t="s">
        <v>1199</v>
      </c>
      <c r="H336" s="9" t="str">
        <f>IF(E336="x","Economic - "&amp;G336,"Environmental - "&amp;G336)</f>
        <v>Environmental - Climate Change</v>
      </c>
      <c r="I336" s="12" t="s">
        <v>471</v>
      </c>
      <c r="J336" s="9" t="s">
        <v>472</v>
      </c>
      <c r="K336" s="9" t="s">
        <v>10</v>
      </c>
      <c r="L336" s="9" t="s">
        <v>1816</v>
      </c>
      <c r="M336" s="9" t="s">
        <v>468</v>
      </c>
      <c r="N336" s="9">
        <f>LEN(O336) - LEN(SUBSTITUTE(O336, ";", ""))+1</f>
        <v>1</v>
      </c>
      <c r="O336" s="9" t="s">
        <v>473</v>
      </c>
      <c r="P336" s="9" t="s">
        <v>56</v>
      </c>
      <c r="Q336" s="9" t="s">
        <v>17</v>
      </c>
      <c r="R336" s="9" t="s">
        <v>17</v>
      </c>
      <c r="S336" s="9" t="s">
        <v>1821</v>
      </c>
      <c r="W336" s="23"/>
    </row>
    <row r="337" spans="1:23" ht="51.5" customHeight="1" x14ac:dyDescent="0.35">
      <c r="A337" s="9" t="s">
        <v>1556</v>
      </c>
      <c r="B337" s="9" t="s">
        <v>350</v>
      </c>
      <c r="C337" s="9" t="s">
        <v>451</v>
      </c>
      <c r="D337" s="9" t="str">
        <f>B337&amp;" - "&amp;C337</f>
        <v>Operational processes - Design of products</v>
      </c>
      <c r="F337" s="9" t="s">
        <v>8</v>
      </c>
      <c r="G337" s="9" t="s">
        <v>1199</v>
      </c>
      <c r="H337" s="9" t="str">
        <f>IF(E337="x","Economic - "&amp;G337,"Environmental - "&amp;G337)</f>
        <v>Environmental - Climate Change</v>
      </c>
      <c r="I337" s="12" t="s">
        <v>474</v>
      </c>
      <c r="J337" s="9" t="s">
        <v>475</v>
      </c>
      <c r="K337" s="9" t="s">
        <v>10</v>
      </c>
      <c r="L337" s="9" t="s">
        <v>1280</v>
      </c>
      <c r="M337" s="9" t="s">
        <v>468</v>
      </c>
      <c r="N337" s="9">
        <f>LEN(O337) - LEN(SUBSTITUTE(O337, ";", ""))+1</f>
        <v>1</v>
      </c>
      <c r="O337" s="9" t="s">
        <v>473</v>
      </c>
      <c r="P337" s="9" t="s">
        <v>56</v>
      </c>
      <c r="Q337" s="9" t="s">
        <v>17</v>
      </c>
      <c r="R337" s="9" t="s">
        <v>17</v>
      </c>
      <c r="S337" s="9" t="s">
        <v>1821</v>
      </c>
      <c r="W337" s="23"/>
    </row>
    <row r="338" spans="1:23" ht="51.5" customHeight="1" x14ac:dyDescent="0.35">
      <c r="A338" s="9" t="s">
        <v>1557</v>
      </c>
      <c r="B338" s="9" t="s">
        <v>350</v>
      </c>
      <c r="C338" s="9" t="s">
        <v>451</v>
      </c>
      <c r="D338" s="9" t="str">
        <f>B338&amp;" - "&amp;C338</f>
        <v>Operational processes - Design of products</v>
      </c>
      <c r="F338" s="9" t="s">
        <v>8</v>
      </c>
      <c r="G338" s="9" t="s">
        <v>1197</v>
      </c>
      <c r="H338" s="9" t="str">
        <f>IF(E338="x","Economic - "&amp;G338,"Environmental - "&amp;G338)</f>
        <v>Environmental - Resource Use &amp; Circular Economy</v>
      </c>
      <c r="I338" s="12" t="s">
        <v>476</v>
      </c>
      <c r="J338" s="9" t="s">
        <v>477</v>
      </c>
      <c r="K338" s="9" t="s">
        <v>10</v>
      </c>
      <c r="L338" s="9" t="s">
        <v>16</v>
      </c>
      <c r="M338" s="9" t="s">
        <v>468</v>
      </c>
      <c r="N338" s="9">
        <f>LEN(O338) - LEN(SUBSTITUTE(O338, ";", ""))+1</f>
        <v>1</v>
      </c>
      <c r="O338" s="9" t="s">
        <v>473</v>
      </c>
      <c r="P338" s="9" t="s">
        <v>56</v>
      </c>
      <c r="Q338" s="9" t="s">
        <v>17</v>
      </c>
      <c r="R338" s="9" t="s">
        <v>17</v>
      </c>
      <c r="S338" s="9" t="s">
        <v>1821</v>
      </c>
      <c r="W338" s="23"/>
    </row>
    <row r="339" spans="1:23" ht="51.5" customHeight="1" x14ac:dyDescent="0.35">
      <c r="A339" s="9" t="s">
        <v>1558</v>
      </c>
      <c r="B339" s="9" t="s">
        <v>350</v>
      </c>
      <c r="C339" s="9" t="s">
        <v>451</v>
      </c>
      <c r="D339" s="9" t="str">
        <f>B339&amp;" - "&amp;C339</f>
        <v>Operational processes - Design of products</v>
      </c>
      <c r="F339" s="9" t="s">
        <v>8</v>
      </c>
      <c r="G339" s="9" t="s">
        <v>1197</v>
      </c>
      <c r="H339" s="9" t="str">
        <f>IF(E339="x","Economic - "&amp;G339,"Environmental - "&amp;G339)</f>
        <v>Environmental - Resource Use &amp; Circular Economy</v>
      </c>
      <c r="I339" s="12" t="s">
        <v>478</v>
      </c>
      <c r="J339" s="9" t="s">
        <v>479</v>
      </c>
      <c r="K339" s="9" t="s">
        <v>10</v>
      </c>
      <c r="L339" s="9" t="s">
        <v>16</v>
      </c>
      <c r="M339" s="9" t="s">
        <v>468</v>
      </c>
      <c r="N339" s="9">
        <f>LEN(O339) - LEN(SUBSTITUTE(O339, ";", ""))+1</f>
        <v>1</v>
      </c>
      <c r="O339" s="9" t="s">
        <v>473</v>
      </c>
      <c r="P339" s="9" t="s">
        <v>56</v>
      </c>
      <c r="Q339" s="9" t="s">
        <v>17</v>
      </c>
      <c r="R339" s="9" t="s">
        <v>17</v>
      </c>
      <c r="S339" s="9" t="s">
        <v>1821</v>
      </c>
      <c r="W339" s="23"/>
    </row>
    <row r="340" spans="1:23" ht="51.5" customHeight="1" x14ac:dyDescent="0.35">
      <c r="A340" s="9" t="s">
        <v>1559</v>
      </c>
      <c r="B340" s="9" t="s">
        <v>350</v>
      </c>
      <c r="C340" s="9" t="s">
        <v>451</v>
      </c>
      <c r="D340" s="9" t="str">
        <f>B340&amp;" - "&amp;C340</f>
        <v>Operational processes - Design of products</v>
      </c>
      <c r="F340" s="9" t="s">
        <v>8</v>
      </c>
      <c r="G340" s="9" t="s">
        <v>1197</v>
      </c>
      <c r="H340" s="9" t="str">
        <f>IF(E340="x","Economic - "&amp;G340,"Environmental - "&amp;G340)</f>
        <v>Environmental - Resource Use &amp; Circular Economy</v>
      </c>
      <c r="I340" s="12" t="s">
        <v>480</v>
      </c>
      <c r="J340" s="9" t="s">
        <v>481</v>
      </c>
      <c r="K340" s="9" t="s">
        <v>10</v>
      </c>
      <c r="L340" s="9" t="s">
        <v>1240</v>
      </c>
      <c r="M340" s="9" t="s">
        <v>468</v>
      </c>
      <c r="N340" s="9">
        <f>LEN(O340) - LEN(SUBSTITUTE(O340, ";", ""))+1</f>
        <v>1</v>
      </c>
      <c r="O340" s="9" t="s">
        <v>473</v>
      </c>
      <c r="P340" s="9" t="s">
        <v>56</v>
      </c>
      <c r="Q340" s="9" t="s">
        <v>17</v>
      </c>
      <c r="R340" s="9" t="s">
        <v>17</v>
      </c>
      <c r="S340" s="9" t="s">
        <v>1821</v>
      </c>
      <c r="W340" s="23"/>
    </row>
    <row r="341" spans="1:23" ht="51.5" customHeight="1" x14ac:dyDescent="0.35">
      <c r="A341" s="9" t="s">
        <v>1560</v>
      </c>
      <c r="B341" s="9" t="s">
        <v>350</v>
      </c>
      <c r="C341" s="9" t="s">
        <v>451</v>
      </c>
      <c r="D341" s="9" t="str">
        <f>B341&amp;" - "&amp;C341</f>
        <v>Operational processes - Design of products</v>
      </c>
      <c r="F341" s="9" t="s">
        <v>8</v>
      </c>
      <c r="G341" s="9" t="s">
        <v>1088</v>
      </c>
      <c r="H341" s="9" t="str">
        <f>IF(E341="x","Economic - "&amp;G341,"Environmental - "&amp;G341)</f>
        <v>Environmental - Pollution</v>
      </c>
      <c r="I341" s="12" t="s">
        <v>482</v>
      </c>
      <c r="J341" s="9" t="s">
        <v>483</v>
      </c>
      <c r="K341" s="9" t="s">
        <v>10</v>
      </c>
      <c r="L341" s="9" t="s">
        <v>16</v>
      </c>
      <c r="M341" s="9" t="s">
        <v>468</v>
      </c>
      <c r="N341" s="9">
        <f>LEN(O341) - LEN(SUBSTITUTE(O341, ";", ""))+1</f>
        <v>1</v>
      </c>
      <c r="O341" s="9" t="s">
        <v>473</v>
      </c>
      <c r="P341" s="9" t="s">
        <v>56</v>
      </c>
      <c r="Q341" s="9" t="s">
        <v>17</v>
      </c>
      <c r="R341" s="9" t="s">
        <v>17</v>
      </c>
      <c r="S341" s="9" t="s">
        <v>1821</v>
      </c>
      <c r="W341" s="23"/>
    </row>
    <row r="342" spans="1:23" ht="51.5" customHeight="1" x14ac:dyDescent="0.35">
      <c r="A342" s="9" t="s">
        <v>1561</v>
      </c>
      <c r="B342" s="9" t="s">
        <v>350</v>
      </c>
      <c r="C342" s="9" t="s">
        <v>451</v>
      </c>
      <c r="D342" s="9" t="str">
        <f>B342&amp;" - "&amp;C342</f>
        <v>Operational processes - Design of products</v>
      </c>
      <c r="F342" s="9" t="s">
        <v>8</v>
      </c>
      <c r="G342" s="9" t="s">
        <v>1197</v>
      </c>
      <c r="H342" s="9" t="str">
        <f>IF(E342="x","Economic - "&amp;G342,"Environmental - "&amp;G342)</f>
        <v>Environmental - Resource Use &amp; Circular Economy</v>
      </c>
      <c r="I342" s="12" t="s">
        <v>484</v>
      </c>
      <c r="J342" s="9" t="s">
        <v>485</v>
      </c>
      <c r="K342" s="9" t="s">
        <v>10</v>
      </c>
      <c r="L342" s="9" t="s">
        <v>16</v>
      </c>
      <c r="M342" s="9" t="s">
        <v>468</v>
      </c>
      <c r="N342" s="9">
        <f>LEN(O342) - LEN(SUBSTITUTE(O342, ";", ""))+1</f>
        <v>2</v>
      </c>
      <c r="O342" s="9" t="s">
        <v>486</v>
      </c>
      <c r="P342" s="9" t="s">
        <v>14</v>
      </c>
      <c r="Q342" s="9" t="s">
        <v>1318</v>
      </c>
      <c r="R342" s="9" t="s">
        <v>1328</v>
      </c>
      <c r="S342" s="9" t="s">
        <v>17</v>
      </c>
      <c r="W342" s="23"/>
    </row>
    <row r="343" spans="1:23" ht="51.5" customHeight="1" x14ac:dyDescent="0.35">
      <c r="A343" s="9" t="s">
        <v>1562</v>
      </c>
      <c r="B343" s="9" t="s">
        <v>350</v>
      </c>
      <c r="C343" s="9" t="s">
        <v>451</v>
      </c>
      <c r="D343" s="9" t="str">
        <f>B343&amp;" - "&amp;C343</f>
        <v>Operational processes - Design of products</v>
      </c>
      <c r="F343" s="9" t="s">
        <v>8</v>
      </c>
      <c r="G343" s="9" t="s">
        <v>1197</v>
      </c>
      <c r="H343" s="9" t="str">
        <f>IF(E343="x","Economic - "&amp;G343,"Environmental - "&amp;G343)</f>
        <v>Environmental - Resource Use &amp; Circular Economy</v>
      </c>
      <c r="I343" s="12" t="s">
        <v>487</v>
      </c>
      <c r="J343" s="9" t="s">
        <v>1132</v>
      </c>
      <c r="K343" s="9" t="s">
        <v>10</v>
      </c>
      <c r="L343" s="9" t="s">
        <v>16</v>
      </c>
      <c r="M343" s="9" t="s">
        <v>468</v>
      </c>
      <c r="N343" s="9">
        <f>LEN(O343) - LEN(SUBSTITUTE(O343, ";", ""))+1</f>
        <v>2</v>
      </c>
      <c r="O343" s="9" t="s">
        <v>488</v>
      </c>
      <c r="P343" s="9" t="s">
        <v>39</v>
      </c>
      <c r="Q343" s="9" t="s">
        <v>1294</v>
      </c>
      <c r="R343" s="9" t="s">
        <v>17</v>
      </c>
      <c r="S343" s="9" t="s">
        <v>17</v>
      </c>
      <c r="W343" s="23"/>
    </row>
    <row r="344" spans="1:23" ht="51.5" customHeight="1" x14ac:dyDescent="0.35">
      <c r="A344" s="9" t="s">
        <v>1563</v>
      </c>
      <c r="B344" s="9" t="s">
        <v>350</v>
      </c>
      <c r="C344" s="9" t="s">
        <v>451</v>
      </c>
      <c r="D344" s="9" t="str">
        <f>B344&amp;" - "&amp;C344</f>
        <v>Operational processes - Design of products</v>
      </c>
      <c r="F344" s="9" t="s">
        <v>8</v>
      </c>
      <c r="G344" s="9" t="s">
        <v>1197</v>
      </c>
      <c r="H344" s="9" t="str">
        <f>IF(E344="x","Economic - "&amp;G344,"Environmental - "&amp;G344)</f>
        <v>Environmental - Resource Use &amp; Circular Economy</v>
      </c>
      <c r="I344" s="12" t="s">
        <v>489</v>
      </c>
      <c r="J344" s="9" t="s">
        <v>490</v>
      </c>
      <c r="K344" s="9" t="s">
        <v>10</v>
      </c>
      <c r="L344" s="9" t="s">
        <v>16</v>
      </c>
      <c r="M344" s="9" t="s">
        <v>468</v>
      </c>
      <c r="N344" s="9">
        <f>LEN(O344) - LEN(SUBSTITUTE(O344, ";", ""))+1</f>
        <v>1</v>
      </c>
      <c r="O344" s="9" t="s">
        <v>177</v>
      </c>
      <c r="P344" s="9" t="s">
        <v>74</v>
      </c>
      <c r="Q344" s="9" t="s">
        <v>17</v>
      </c>
      <c r="R344" s="9" t="s">
        <v>17</v>
      </c>
      <c r="S344" s="9" t="s">
        <v>17</v>
      </c>
      <c r="W344" s="23"/>
    </row>
    <row r="345" spans="1:23" ht="51.5" customHeight="1" x14ac:dyDescent="0.35">
      <c r="A345" s="9" t="s">
        <v>1564</v>
      </c>
      <c r="B345" s="9" t="s">
        <v>350</v>
      </c>
      <c r="C345" s="9" t="s">
        <v>451</v>
      </c>
      <c r="D345" s="9" t="str">
        <f>B345&amp;" - "&amp;C345</f>
        <v>Operational processes - Design of products</v>
      </c>
      <c r="E345" s="9" t="s">
        <v>8</v>
      </c>
      <c r="G345" s="9" t="s">
        <v>1090</v>
      </c>
      <c r="H345" s="9" t="str">
        <f>IF(E345="x","Economic - "&amp;G345,"Environmental - "&amp;G345)</f>
        <v>Economic - Other</v>
      </c>
      <c r="I345" s="12" t="s">
        <v>491</v>
      </c>
      <c r="J345" s="9" t="s">
        <v>1170</v>
      </c>
      <c r="K345" s="9" t="s">
        <v>10</v>
      </c>
      <c r="L345" s="9" t="s">
        <v>16</v>
      </c>
      <c r="M345" s="9" t="s">
        <v>468</v>
      </c>
      <c r="N345" s="9">
        <f>LEN(O345) - LEN(SUBSTITUTE(O345, ";", ""))+1</f>
        <v>1</v>
      </c>
      <c r="O345" s="9" t="s">
        <v>492</v>
      </c>
      <c r="P345" s="9" t="s">
        <v>39</v>
      </c>
      <c r="Q345" s="9" t="s">
        <v>117</v>
      </c>
      <c r="R345" s="9" t="s">
        <v>17</v>
      </c>
      <c r="S345" s="9" t="s">
        <v>17</v>
      </c>
      <c r="W345" s="23"/>
    </row>
    <row r="346" spans="1:23" ht="51.5" customHeight="1" x14ac:dyDescent="0.35">
      <c r="A346" s="9" t="s">
        <v>1565</v>
      </c>
      <c r="B346" s="9" t="s">
        <v>350</v>
      </c>
      <c r="C346" s="9" t="s">
        <v>451</v>
      </c>
      <c r="D346" s="9" t="str">
        <f>B346&amp;" - "&amp;C346</f>
        <v>Operational processes - Design of products</v>
      </c>
      <c r="F346" s="9" t="s">
        <v>8</v>
      </c>
      <c r="G346" s="9" t="s">
        <v>1197</v>
      </c>
      <c r="H346" s="9" t="str">
        <f>IF(E346="x","Economic - "&amp;G346,"Environmental - "&amp;G346)</f>
        <v>Environmental - Resource Use &amp; Circular Economy</v>
      </c>
      <c r="I346" s="12" t="s">
        <v>493</v>
      </c>
      <c r="J346" s="9" t="s">
        <v>494</v>
      </c>
      <c r="K346" s="9" t="s">
        <v>10</v>
      </c>
      <c r="L346" s="9" t="s">
        <v>57</v>
      </c>
      <c r="M346" s="9" t="s">
        <v>468</v>
      </c>
      <c r="N346" s="9">
        <f>LEN(O346) - LEN(SUBSTITUTE(O346, ";", ""))+1</f>
        <v>1</v>
      </c>
      <c r="O346" s="9" t="s">
        <v>38</v>
      </c>
      <c r="P346" s="9" t="s">
        <v>39</v>
      </c>
      <c r="Q346" s="9" t="s">
        <v>40</v>
      </c>
      <c r="R346" s="9" t="s">
        <v>17</v>
      </c>
      <c r="S346" s="9" t="s">
        <v>1825</v>
      </c>
      <c r="W346" s="23"/>
    </row>
    <row r="347" spans="1:23" ht="51.5" customHeight="1" x14ac:dyDescent="0.35">
      <c r="A347" s="9" t="s">
        <v>1566</v>
      </c>
      <c r="B347" s="9" t="s">
        <v>350</v>
      </c>
      <c r="C347" s="9" t="s">
        <v>451</v>
      </c>
      <c r="D347" s="9" t="str">
        <f>B347&amp;" - "&amp;C347</f>
        <v>Operational processes - Design of products</v>
      </c>
      <c r="F347" s="9" t="s">
        <v>8</v>
      </c>
      <c r="G347" s="9" t="s">
        <v>1197</v>
      </c>
      <c r="H347" s="9" t="str">
        <f>IF(E347="x","Economic - "&amp;G347,"Environmental - "&amp;G347)</f>
        <v>Environmental - Resource Use &amp; Circular Economy</v>
      </c>
      <c r="I347" s="12" t="s">
        <v>495</v>
      </c>
      <c r="J347" s="9" t="s">
        <v>1171</v>
      </c>
      <c r="K347" s="9" t="s">
        <v>10</v>
      </c>
      <c r="L347" s="9" t="s">
        <v>11</v>
      </c>
      <c r="M347" s="9" t="s">
        <v>468</v>
      </c>
      <c r="N347" s="9">
        <f>LEN(O347) - LEN(SUBSTITUTE(O347, ";", ""))+1</f>
        <v>1</v>
      </c>
      <c r="O347" s="9" t="s">
        <v>38</v>
      </c>
      <c r="P347" s="9" t="s">
        <v>39</v>
      </c>
      <c r="Q347" s="9" t="s">
        <v>40</v>
      </c>
      <c r="R347" s="9" t="s">
        <v>17</v>
      </c>
      <c r="S347" s="9" t="s">
        <v>1825</v>
      </c>
      <c r="W347" s="23"/>
    </row>
    <row r="348" spans="1:23" ht="51.5" customHeight="1" x14ac:dyDescent="0.35">
      <c r="A348" s="9" t="s">
        <v>1567</v>
      </c>
      <c r="B348" s="9" t="s">
        <v>350</v>
      </c>
      <c r="C348" s="9" t="s">
        <v>451</v>
      </c>
      <c r="D348" s="9" t="str">
        <f>B348&amp;" - "&amp;C348</f>
        <v>Operational processes - Design of products</v>
      </c>
      <c r="F348" s="9" t="s">
        <v>8</v>
      </c>
      <c r="G348" s="9" t="s">
        <v>1197</v>
      </c>
      <c r="H348" s="9" t="str">
        <f>IF(E348="x","Economic - "&amp;G348,"Environmental - "&amp;G348)</f>
        <v>Environmental - Resource Use &amp; Circular Economy</v>
      </c>
      <c r="I348" s="12" t="s">
        <v>496</v>
      </c>
      <c r="J348" s="9" t="s">
        <v>497</v>
      </c>
      <c r="K348" s="9" t="s">
        <v>10</v>
      </c>
      <c r="L348" s="9" t="s">
        <v>1252</v>
      </c>
      <c r="M348" s="9" t="s">
        <v>468</v>
      </c>
      <c r="N348" s="9">
        <f>LEN(O348) - LEN(SUBSTITUTE(O348, ";", ""))+1</f>
        <v>1</v>
      </c>
      <c r="O348" s="9" t="s">
        <v>38</v>
      </c>
      <c r="P348" s="9" t="s">
        <v>39</v>
      </c>
      <c r="Q348" s="9" t="s">
        <v>40</v>
      </c>
      <c r="R348" s="9" t="s">
        <v>17</v>
      </c>
      <c r="S348" s="9" t="s">
        <v>1825</v>
      </c>
      <c r="W348" s="23"/>
    </row>
    <row r="349" spans="1:23" ht="51.5" customHeight="1" x14ac:dyDescent="0.35">
      <c r="A349" s="9" t="s">
        <v>1674</v>
      </c>
      <c r="B349" s="9" t="s">
        <v>707</v>
      </c>
      <c r="C349" s="9" t="s">
        <v>708</v>
      </c>
      <c r="D349" s="9" t="str">
        <f>B349&amp;" - "&amp;C349</f>
        <v>Output - Product</v>
      </c>
      <c r="E349" s="9" t="s">
        <v>8</v>
      </c>
      <c r="G349" s="9" t="s">
        <v>603</v>
      </c>
      <c r="H349" s="9" t="str">
        <f>IF(E349="x","Economic - "&amp;G349,"Environmental - "&amp;G349)</f>
        <v>Economic - Profit</v>
      </c>
      <c r="I349" s="12" t="s">
        <v>709</v>
      </c>
      <c r="J349" s="9" t="s">
        <v>1858</v>
      </c>
      <c r="K349" s="9" t="s">
        <v>10</v>
      </c>
      <c r="L349" s="9" t="s">
        <v>57</v>
      </c>
      <c r="M349" s="9" t="s">
        <v>468</v>
      </c>
      <c r="N349" s="9">
        <f>LEN(O349) - LEN(SUBSTITUTE(O349, ";", ""))+1</f>
        <v>4</v>
      </c>
      <c r="O349" s="9" t="s">
        <v>710</v>
      </c>
      <c r="P349" s="9" t="s">
        <v>13</v>
      </c>
      <c r="Q349" s="9" t="s">
        <v>1344</v>
      </c>
      <c r="R349" s="9" t="s">
        <v>1316</v>
      </c>
      <c r="S349" s="9" t="s">
        <v>17</v>
      </c>
      <c r="W349" s="23"/>
    </row>
    <row r="350" spans="1:23" ht="51.5" customHeight="1" x14ac:dyDescent="0.35">
      <c r="A350" s="9" t="s">
        <v>2077</v>
      </c>
      <c r="B350" s="9" t="s">
        <v>707</v>
      </c>
      <c r="C350" s="9" t="s">
        <v>708</v>
      </c>
      <c r="D350" s="9" t="str">
        <f>B350&amp;" - "&amp;C350</f>
        <v>Output - Product</v>
      </c>
      <c r="E350" s="9" t="s">
        <v>8</v>
      </c>
      <c r="G350" s="9" t="s">
        <v>1090</v>
      </c>
      <c r="H350" s="9" t="str">
        <f>IF(E350="x","Economic - "&amp;G350,"Environmental - "&amp;G350)</f>
        <v>Economic - Other</v>
      </c>
      <c r="I350" s="12" t="s">
        <v>711</v>
      </c>
      <c r="J350" s="9" t="s">
        <v>1095</v>
      </c>
      <c r="K350" s="9" t="s">
        <v>10</v>
      </c>
      <c r="L350" s="9" t="s">
        <v>57</v>
      </c>
      <c r="M350" s="9" t="s">
        <v>468</v>
      </c>
      <c r="N350" s="9">
        <f>LEN(O350) - LEN(SUBSTITUTE(O350, ";", ""))+1</f>
        <v>6</v>
      </c>
      <c r="O350" s="9" t="s">
        <v>1971</v>
      </c>
      <c r="P350" s="9" t="s">
        <v>39</v>
      </c>
      <c r="Q350" s="9" t="s">
        <v>2131</v>
      </c>
      <c r="R350" s="9" t="s">
        <v>17</v>
      </c>
      <c r="S350" s="9" t="s">
        <v>1826</v>
      </c>
      <c r="W350" s="23"/>
    </row>
    <row r="351" spans="1:23" ht="51.5" customHeight="1" x14ac:dyDescent="0.35">
      <c r="A351" s="9" t="s">
        <v>1675</v>
      </c>
      <c r="B351" s="9" t="s">
        <v>707</v>
      </c>
      <c r="C351" s="9" t="s">
        <v>708</v>
      </c>
      <c r="D351" s="9" t="str">
        <f>B351&amp;" - "&amp;C351</f>
        <v>Output - Product</v>
      </c>
      <c r="F351" s="9" t="s">
        <v>8</v>
      </c>
      <c r="G351" s="9" t="s">
        <v>1197</v>
      </c>
      <c r="H351" s="9" t="str">
        <f>IF(E351="x","Economic - "&amp;G351,"Environmental - "&amp;G351)</f>
        <v>Environmental - Resource Use &amp; Circular Economy</v>
      </c>
      <c r="I351" s="12" t="s">
        <v>712</v>
      </c>
      <c r="J351" s="9" t="s">
        <v>1187</v>
      </c>
      <c r="K351" s="9" t="s">
        <v>10</v>
      </c>
      <c r="L351" s="9" t="s">
        <v>57</v>
      </c>
      <c r="M351" s="9" t="s">
        <v>468</v>
      </c>
      <c r="N351" s="9">
        <f>LEN(O351) - LEN(SUBSTITUTE(O351, ";", ""))+1</f>
        <v>1</v>
      </c>
      <c r="O351" s="9" t="s">
        <v>1069</v>
      </c>
      <c r="P351" s="9" t="s">
        <v>84</v>
      </c>
      <c r="Q351" s="9" t="s">
        <v>124</v>
      </c>
      <c r="R351" s="9" t="s">
        <v>1311</v>
      </c>
      <c r="S351" s="9" t="s">
        <v>17</v>
      </c>
      <c r="W351" s="23"/>
    </row>
    <row r="352" spans="1:23" ht="51.5" customHeight="1" x14ac:dyDescent="0.35">
      <c r="A352" s="9" t="s">
        <v>1676</v>
      </c>
      <c r="B352" s="9" t="s">
        <v>707</v>
      </c>
      <c r="C352" s="9" t="s">
        <v>708</v>
      </c>
      <c r="D352" s="9" t="str">
        <f>B352&amp;" - "&amp;C352</f>
        <v>Output - Product</v>
      </c>
      <c r="F352" s="9" t="s">
        <v>8</v>
      </c>
      <c r="G352" s="9" t="s">
        <v>1197</v>
      </c>
      <c r="H352" s="9" t="str">
        <f>IF(E352="x","Economic - "&amp;G352,"Environmental - "&amp;G352)</f>
        <v>Environmental - Resource Use &amp; Circular Economy</v>
      </c>
      <c r="I352" s="12" t="s">
        <v>713</v>
      </c>
      <c r="J352" s="9" t="s">
        <v>1111</v>
      </c>
      <c r="K352" s="9" t="s">
        <v>10</v>
      </c>
      <c r="L352" s="9" t="s">
        <v>16</v>
      </c>
      <c r="M352" s="9" t="s">
        <v>468</v>
      </c>
      <c r="N352" s="9">
        <f>LEN(O352) - LEN(SUBSTITUTE(O352, ";", ""))+1</f>
        <v>4</v>
      </c>
      <c r="O352" s="9" t="s">
        <v>1362</v>
      </c>
      <c r="P352" s="9" t="s">
        <v>74</v>
      </c>
      <c r="Q352" s="9" t="s">
        <v>1296</v>
      </c>
      <c r="R352" s="9" t="s">
        <v>17</v>
      </c>
      <c r="S352" s="9" t="s">
        <v>1823</v>
      </c>
      <c r="W352" s="23"/>
    </row>
    <row r="353" spans="1:23" ht="51.5" customHeight="1" x14ac:dyDescent="0.35">
      <c r="A353" s="9" t="s">
        <v>1677</v>
      </c>
      <c r="B353" s="9" t="s">
        <v>707</v>
      </c>
      <c r="C353" s="9" t="s">
        <v>708</v>
      </c>
      <c r="D353" s="9" t="str">
        <f>B353&amp;" - "&amp;C353</f>
        <v>Output - Product</v>
      </c>
      <c r="E353" s="9" t="s">
        <v>8</v>
      </c>
      <c r="G353" s="9" t="s">
        <v>603</v>
      </c>
      <c r="H353" s="9" t="str">
        <f>IF(E353="x","Economic - "&amp;G353,"Environmental - "&amp;G353)</f>
        <v>Economic - Profit</v>
      </c>
      <c r="I353" s="12" t="s">
        <v>714</v>
      </c>
      <c r="J353" s="9" t="s">
        <v>715</v>
      </c>
      <c r="K353" s="9" t="s">
        <v>10</v>
      </c>
      <c r="L353" s="9" t="s">
        <v>16</v>
      </c>
      <c r="M353" s="9" t="s">
        <v>468</v>
      </c>
      <c r="N353" s="9">
        <f>LEN(O353) - LEN(SUBSTITUTE(O353, ";", ""))+1</f>
        <v>2</v>
      </c>
      <c r="O353" s="9" t="s">
        <v>180</v>
      </c>
      <c r="P353" s="9" t="s">
        <v>84</v>
      </c>
      <c r="Q353" s="9" t="s">
        <v>1309</v>
      </c>
      <c r="R353" s="9" t="s">
        <v>1292</v>
      </c>
      <c r="S353" s="9" t="s">
        <v>17</v>
      </c>
      <c r="W353" s="23"/>
    </row>
    <row r="354" spans="1:23" ht="51.5" customHeight="1" x14ac:dyDescent="0.35">
      <c r="A354" s="9" t="s">
        <v>1678</v>
      </c>
      <c r="B354" s="9" t="s">
        <v>707</v>
      </c>
      <c r="C354" s="9" t="s">
        <v>708</v>
      </c>
      <c r="D354" s="9" t="str">
        <f>B354&amp;" - "&amp;C354</f>
        <v>Output - Product</v>
      </c>
      <c r="E354" s="9" t="s">
        <v>8</v>
      </c>
      <c r="G354" s="9" t="s">
        <v>603</v>
      </c>
      <c r="H354" s="9" t="str">
        <f>IF(E354="x","Economic - "&amp;G354,"Environmental - "&amp;G354)</f>
        <v>Economic - Profit</v>
      </c>
      <c r="I354" s="12" t="s">
        <v>716</v>
      </c>
      <c r="J354" s="9" t="s">
        <v>717</v>
      </c>
      <c r="K354" s="9" t="s">
        <v>10</v>
      </c>
      <c r="L354" s="9" t="s">
        <v>57</v>
      </c>
      <c r="M354" s="9" t="s">
        <v>468</v>
      </c>
      <c r="N354" s="9">
        <f>LEN(O354) - LEN(SUBSTITUTE(O354, ";", ""))+1</f>
        <v>1</v>
      </c>
      <c r="O354" s="9" t="s">
        <v>96</v>
      </c>
      <c r="P354" s="9" t="s">
        <v>29</v>
      </c>
      <c r="Q354" s="9" t="s">
        <v>17</v>
      </c>
      <c r="R354" s="9" t="s">
        <v>17</v>
      </c>
      <c r="S354" s="9" t="s">
        <v>1821</v>
      </c>
      <c r="W354" s="23"/>
    </row>
    <row r="355" spans="1:23" ht="51.5" customHeight="1" x14ac:dyDescent="0.35">
      <c r="A355" s="9" t="s">
        <v>1679</v>
      </c>
      <c r="B355" s="9" t="s">
        <v>707</v>
      </c>
      <c r="C355" s="9" t="s">
        <v>708</v>
      </c>
      <c r="D355" s="9" t="str">
        <f>B355&amp;" - "&amp;C355</f>
        <v>Output - Product</v>
      </c>
      <c r="E355" s="9" t="s">
        <v>8</v>
      </c>
      <c r="G355" s="9" t="s">
        <v>603</v>
      </c>
      <c r="H355" s="9" t="str">
        <f>IF(E355="x","Economic - "&amp;G355,"Environmental - "&amp;G355)</f>
        <v>Economic - Profit</v>
      </c>
      <c r="I355" s="12" t="s">
        <v>718</v>
      </c>
      <c r="J355" s="9" t="s">
        <v>719</v>
      </c>
      <c r="K355" s="9" t="s">
        <v>10</v>
      </c>
      <c r="L355" s="9" t="s">
        <v>57</v>
      </c>
      <c r="M355" s="9" t="s">
        <v>468</v>
      </c>
      <c r="N355" s="9">
        <f>LEN(O355) - LEN(SUBSTITUTE(O355, ";", ""))+1</f>
        <v>1</v>
      </c>
      <c r="O355" s="9" t="s">
        <v>96</v>
      </c>
      <c r="P355" s="9" t="s">
        <v>29</v>
      </c>
      <c r="Q355" s="9" t="s">
        <v>17</v>
      </c>
      <c r="R355" s="9" t="s">
        <v>17</v>
      </c>
      <c r="S355" s="9" t="s">
        <v>1821</v>
      </c>
      <c r="W355" s="23"/>
    </row>
    <row r="356" spans="1:23" ht="51.5" customHeight="1" x14ac:dyDescent="0.35">
      <c r="A356" s="9" t="s">
        <v>1680</v>
      </c>
      <c r="B356" s="9" t="s">
        <v>707</v>
      </c>
      <c r="C356" s="9" t="s">
        <v>708</v>
      </c>
      <c r="D356" s="9" t="str">
        <f>B356&amp;" - "&amp;C356</f>
        <v>Output - Product</v>
      </c>
      <c r="E356" s="9" t="s">
        <v>8</v>
      </c>
      <c r="G356" s="9" t="s">
        <v>603</v>
      </c>
      <c r="H356" s="9" t="str">
        <f>IF(E356="x","Economic - "&amp;G356,"Environmental - "&amp;G356)</f>
        <v>Economic - Profit</v>
      </c>
      <c r="I356" s="12" t="s">
        <v>720</v>
      </c>
      <c r="J356" s="9" t="s">
        <v>721</v>
      </c>
      <c r="K356" s="9" t="s">
        <v>10</v>
      </c>
      <c r="L356" s="9" t="s">
        <v>16</v>
      </c>
      <c r="M356" s="9" t="s">
        <v>468</v>
      </c>
      <c r="N356" s="9">
        <f>LEN(O356) - LEN(SUBSTITUTE(O356, ";", ""))+1</f>
        <v>1</v>
      </c>
      <c r="O356" s="9" t="s">
        <v>722</v>
      </c>
      <c r="P356" s="9" t="s">
        <v>39</v>
      </c>
      <c r="Q356" s="9" t="s">
        <v>526</v>
      </c>
      <c r="R356" s="9" t="s">
        <v>17</v>
      </c>
      <c r="S356" s="9" t="s">
        <v>17</v>
      </c>
      <c r="W356" s="23"/>
    </row>
    <row r="357" spans="1:23" ht="51.5" customHeight="1" x14ac:dyDescent="0.35">
      <c r="A357" s="9" t="s">
        <v>1681</v>
      </c>
      <c r="B357" s="9" t="s">
        <v>707</v>
      </c>
      <c r="C357" s="9" t="s">
        <v>708</v>
      </c>
      <c r="D357" s="9" t="str">
        <f>B357&amp;" - "&amp;C357</f>
        <v>Output - Product</v>
      </c>
      <c r="E357" s="9" t="s">
        <v>8</v>
      </c>
      <c r="G357" s="9" t="s">
        <v>1090</v>
      </c>
      <c r="H357" s="9" t="str">
        <f>IF(E357="x","Economic - "&amp;G357,"Environmental - "&amp;G357)</f>
        <v>Economic - Other</v>
      </c>
      <c r="I357" s="12" t="s">
        <v>723</v>
      </c>
      <c r="J357" s="9" t="s">
        <v>724</v>
      </c>
      <c r="K357" s="9" t="s">
        <v>10</v>
      </c>
      <c r="L357" s="9" t="s">
        <v>57</v>
      </c>
      <c r="M357" s="9" t="s">
        <v>468</v>
      </c>
      <c r="N357" s="9">
        <f>LEN(O357) - LEN(SUBSTITUTE(O357, ";", ""))+1</f>
        <v>2</v>
      </c>
      <c r="O357" s="9" t="s">
        <v>725</v>
      </c>
      <c r="P357" s="9" t="s">
        <v>74</v>
      </c>
      <c r="Q357" s="9" t="s">
        <v>1310</v>
      </c>
      <c r="R357" s="9" t="s">
        <v>17</v>
      </c>
      <c r="S357" s="9" t="s">
        <v>1820</v>
      </c>
      <c r="W357" s="23"/>
    </row>
    <row r="358" spans="1:23" ht="51.5" customHeight="1" x14ac:dyDescent="0.35">
      <c r="A358" s="9" t="s">
        <v>1682</v>
      </c>
      <c r="B358" s="9" t="s">
        <v>707</v>
      </c>
      <c r="C358" s="9" t="s">
        <v>708</v>
      </c>
      <c r="D358" s="9" t="str">
        <f>B358&amp;" - "&amp;C358</f>
        <v>Output - Product</v>
      </c>
      <c r="F358" s="9" t="s">
        <v>8</v>
      </c>
      <c r="G358" s="9" t="s">
        <v>1197</v>
      </c>
      <c r="H358" s="9" t="str">
        <f>IF(E358="x","Economic - "&amp;G358,"Environmental - "&amp;G358)</f>
        <v>Environmental - Resource Use &amp; Circular Economy</v>
      </c>
      <c r="I358" s="12" t="s">
        <v>1932</v>
      </c>
      <c r="J358" s="9" t="s">
        <v>1934</v>
      </c>
      <c r="K358" s="9" t="s">
        <v>10</v>
      </c>
      <c r="L358" s="9" t="s">
        <v>16</v>
      </c>
      <c r="M358" s="9" t="s">
        <v>2148</v>
      </c>
      <c r="N358" s="9">
        <f>LEN(O358) - LEN(SUBSTITUTE(O358, ";", ""))+1</f>
        <v>2</v>
      </c>
      <c r="O358" s="9" t="s">
        <v>1936</v>
      </c>
      <c r="P358" s="9" t="s">
        <v>14</v>
      </c>
      <c r="Q358" s="9" t="s">
        <v>117</v>
      </c>
      <c r="R358" s="9" t="s">
        <v>118</v>
      </c>
      <c r="S358" s="9" t="s">
        <v>17</v>
      </c>
      <c r="W358" s="23"/>
    </row>
    <row r="359" spans="1:23" ht="51.5" customHeight="1" x14ac:dyDescent="0.35">
      <c r="A359" s="9" t="s">
        <v>1683</v>
      </c>
      <c r="B359" s="9" t="s">
        <v>707</v>
      </c>
      <c r="C359" s="9" t="s">
        <v>708</v>
      </c>
      <c r="D359" s="9" t="str">
        <f>B359&amp;" - "&amp;C359</f>
        <v>Output - Product</v>
      </c>
      <c r="F359" s="9" t="s">
        <v>8</v>
      </c>
      <c r="G359" s="9" t="s">
        <v>1197</v>
      </c>
      <c r="H359" s="9" t="str">
        <f>IF(E359="x","Economic - "&amp;G359,"Environmental - "&amp;G359)</f>
        <v>Environmental - Resource Use &amp; Circular Economy</v>
      </c>
      <c r="I359" s="12" t="s">
        <v>1933</v>
      </c>
      <c r="J359" s="9" t="s">
        <v>1935</v>
      </c>
      <c r="K359" s="9" t="s">
        <v>10</v>
      </c>
      <c r="L359" s="9" t="s">
        <v>16</v>
      </c>
      <c r="M359" s="9" t="s">
        <v>468</v>
      </c>
      <c r="N359" s="9">
        <f>LEN(O359) - LEN(SUBSTITUTE(O359, ";", ""))+1</f>
        <v>1</v>
      </c>
      <c r="O359" s="9" t="s">
        <v>933</v>
      </c>
      <c r="P359" s="9" t="s">
        <v>39</v>
      </c>
      <c r="Q359" s="9" t="s">
        <v>117</v>
      </c>
      <c r="R359" s="9" t="s">
        <v>118</v>
      </c>
      <c r="S359" s="9" t="s">
        <v>17</v>
      </c>
      <c r="W359" s="23"/>
    </row>
    <row r="360" spans="1:23" ht="51.5" customHeight="1" x14ac:dyDescent="0.35">
      <c r="A360" s="9" t="s">
        <v>1684</v>
      </c>
      <c r="B360" s="9" t="s">
        <v>707</v>
      </c>
      <c r="C360" s="9" t="s">
        <v>708</v>
      </c>
      <c r="D360" s="9" t="str">
        <f>B360&amp;" - "&amp;C360</f>
        <v>Output - Product</v>
      </c>
      <c r="E360" s="9" t="s">
        <v>8</v>
      </c>
      <c r="G360" s="9" t="s">
        <v>1086</v>
      </c>
      <c r="H360" s="9" t="str">
        <f>IF(E360="x","Economic - "&amp;G360,"Environmental - "&amp;G360)</f>
        <v>Economic - Cost</v>
      </c>
      <c r="I360" s="12" t="s">
        <v>2032</v>
      </c>
      <c r="J360" s="9" t="s">
        <v>2033</v>
      </c>
      <c r="K360" s="9" t="s">
        <v>10</v>
      </c>
      <c r="L360" s="9" t="s">
        <v>19</v>
      </c>
      <c r="M360" s="9" t="s">
        <v>468</v>
      </c>
      <c r="N360" s="9">
        <f>LEN(O360) - LEN(SUBSTITUTE(O360, ";", ""))+1</f>
        <v>1</v>
      </c>
      <c r="O360" s="9" t="s">
        <v>38</v>
      </c>
      <c r="P360" s="9" t="s">
        <v>39</v>
      </c>
      <c r="Q360" s="9" t="s">
        <v>40</v>
      </c>
      <c r="R360" s="9" t="s">
        <v>17</v>
      </c>
      <c r="S360" s="9" t="s">
        <v>1825</v>
      </c>
      <c r="W360" s="23"/>
    </row>
    <row r="361" spans="1:23" ht="51.5" customHeight="1" x14ac:dyDescent="0.35">
      <c r="A361" s="9" t="s">
        <v>1685</v>
      </c>
      <c r="B361" s="9" t="s">
        <v>707</v>
      </c>
      <c r="C361" s="9" t="s">
        <v>726</v>
      </c>
      <c r="D361" s="9" t="str">
        <f>B361&amp;" - "&amp;C361</f>
        <v>Output - Waste</v>
      </c>
      <c r="F361" s="9" t="s">
        <v>8</v>
      </c>
      <c r="G361" s="9" t="s">
        <v>1197</v>
      </c>
      <c r="H361" s="9" t="str">
        <f>IF(E361="x","Economic - "&amp;G361,"Environmental - "&amp;G361)</f>
        <v>Environmental - Resource Use &amp; Circular Economy</v>
      </c>
      <c r="I361" s="12" t="s">
        <v>727</v>
      </c>
      <c r="J361" s="9" t="s">
        <v>1243</v>
      </c>
      <c r="K361" s="9" t="s">
        <v>10</v>
      </c>
      <c r="L361" s="9" t="s">
        <v>11</v>
      </c>
      <c r="M361" s="9" t="s">
        <v>728</v>
      </c>
      <c r="N361" s="9">
        <f>LEN(O361) - LEN(SUBSTITUTE(O361, ";", ""))+1</f>
        <v>13</v>
      </c>
      <c r="O361" s="9" t="s">
        <v>2089</v>
      </c>
      <c r="P361" s="9" t="s">
        <v>13</v>
      </c>
      <c r="Q361" s="9" t="s">
        <v>1345</v>
      </c>
      <c r="R361" s="9" t="s">
        <v>2132</v>
      </c>
      <c r="S361" s="9" t="s">
        <v>1826</v>
      </c>
      <c r="W361" s="23"/>
    </row>
    <row r="362" spans="1:23" ht="51.5" customHeight="1" x14ac:dyDescent="0.35">
      <c r="A362" s="9" t="s">
        <v>1686</v>
      </c>
      <c r="B362" s="9" t="s">
        <v>707</v>
      </c>
      <c r="C362" s="9" t="s">
        <v>726</v>
      </c>
      <c r="D362" s="9" t="str">
        <f>B362&amp;" - "&amp;C362</f>
        <v>Output - Waste</v>
      </c>
      <c r="F362" s="9" t="s">
        <v>8</v>
      </c>
      <c r="G362" s="9" t="s">
        <v>1197</v>
      </c>
      <c r="H362" s="9" t="str">
        <f>IF(E362="x","Economic - "&amp;G362,"Environmental - "&amp;G362)</f>
        <v>Environmental - Resource Use &amp; Circular Economy</v>
      </c>
      <c r="I362" s="12" t="s">
        <v>1229</v>
      </c>
      <c r="J362" s="9" t="s">
        <v>1220</v>
      </c>
      <c r="K362" s="9" t="s">
        <v>10</v>
      </c>
      <c r="L362" s="9" t="s">
        <v>1221</v>
      </c>
      <c r="M362" s="9" t="s">
        <v>468</v>
      </c>
      <c r="N362" s="9">
        <f>LEN(O362) - LEN(SUBSTITUTE(O362, ";", ""))+1</f>
        <v>12</v>
      </c>
      <c r="O362" s="9" t="s">
        <v>1919</v>
      </c>
      <c r="P362" s="9" t="s">
        <v>50</v>
      </c>
      <c r="Q362" s="9" t="s">
        <v>1320</v>
      </c>
      <c r="R362" s="9" t="s">
        <v>1286</v>
      </c>
      <c r="S362" s="9" t="s">
        <v>1826</v>
      </c>
      <c r="W362" s="23"/>
    </row>
    <row r="363" spans="1:23" ht="51.5" customHeight="1" x14ac:dyDescent="0.35">
      <c r="A363" s="9" t="s">
        <v>1687</v>
      </c>
      <c r="B363" s="9" t="s">
        <v>707</v>
      </c>
      <c r="C363" s="9" t="s">
        <v>726</v>
      </c>
      <c r="D363" s="9" t="str">
        <f>B363&amp;" - "&amp;C363</f>
        <v>Output - Waste</v>
      </c>
      <c r="F363" s="9" t="s">
        <v>8</v>
      </c>
      <c r="G363" s="9" t="s">
        <v>1197</v>
      </c>
      <c r="H363" s="9" t="str">
        <f>IF(E363="x","Economic - "&amp;G363,"Environmental - "&amp;G363)</f>
        <v>Environmental - Resource Use &amp; Circular Economy</v>
      </c>
      <c r="I363" s="12" t="s">
        <v>729</v>
      </c>
      <c r="J363" s="9" t="s">
        <v>1122</v>
      </c>
      <c r="K363" s="9" t="s">
        <v>10</v>
      </c>
      <c r="L363" s="9" t="s">
        <v>11</v>
      </c>
      <c r="M363" s="9" t="s">
        <v>468</v>
      </c>
      <c r="N363" s="9">
        <f>LEN(O363) - LEN(SUBSTITUTE(O363, ";", ""))+1</f>
        <v>3</v>
      </c>
      <c r="O363" s="9" t="s">
        <v>730</v>
      </c>
      <c r="P363" s="9" t="s">
        <v>165</v>
      </c>
      <c r="Q363" s="9" t="s">
        <v>1301</v>
      </c>
      <c r="R363" s="9" t="s">
        <v>1284</v>
      </c>
      <c r="S363" s="9" t="s">
        <v>1827</v>
      </c>
      <c r="W363" s="23"/>
    </row>
    <row r="364" spans="1:23" ht="51.5" customHeight="1" x14ac:dyDescent="0.35">
      <c r="A364" s="9" t="s">
        <v>1688</v>
      </c>
      <c r="B364" s="9" t="s">
        <v>707</v>
      </c>
      <c r="C364" s="9" t="s">
        <v>726</v>
      </c>
      <c r="D364" s="9" t="str">
        <f>B364&amp;" - "&amp;C364</f>
        <v>Output - Waste</v>
      </c>
      <c r="F364" s="9" t="s">
        <v>8</v>
      </c>
      <c r="G364" s="9" t="s">
        <v>1197</v>
      </c>
      <c r="H364" s="9" t="str">
        <f>IF(E364="x","Economic - "&amp;G364,"Environmental - "&amp;G364)</f>
        <v>Environmental - Resource Use &amp; Circular Economy</v>
      </c>
      <c r="I364" s="12" t="s">
        <v>731</v>
      </c>
      <c r="J364" s="9" t="s">
        <v>732</v>
      </c>
      <c r="K364" s="9" t="s">
        <v>10</v>
      </c>
      <c r="L364" s="9" t="s">
        <v>16</v>
      </c>
      <c r="M364" s="9" t="s">
        <v>468</v>
      </c>
      <c r="N364" s="9">
        <f>LEN(O364) - LEN(SUBSTITUTE(O364, ";", ""))+1</f>
        <v>3</v>
      </c>
      <c r="O364" s="9" t="s">
        <v>355</v>
      </c>
      <c r="P364" s="9" t="s">
        <v>69</v>
      </c>
      <c r="Q364" s="9" t="s">
        <v>1312</v>
      </c>
      <c r="R364" s="9" t="s">
        <v>1287</v>
      </c>
      <c r="S364" s="9" t="s">
        <v>17</v>
      </c>
      <c r="W364" s="23"/>
    </row>
    <row r="365" spans="1:23" ht="51.5" customHeight="1" x14ac:dyDescent="0.35">
      <c r="A365" s="9" t="s">
        <v>1689</v>
      </c>
      <c r="B365" s="9" t="s">
        <v>707</v>
      </c>
      <c r="C365" s="9" t="s">
        <v>726</v>
      </c>
      <c r="D365" s="9" t="str">
        <f>B365&amp;" - "&amp;C365</f>
        <v>Output - Waste</v>
      </c>
      <c r="F365" s="9" t="s">
        <v>8</v>
      </c>
      <c r="G365" s="9" t="s">
        <v>1197</v>
      </c>
      <c r="H365" s="9" t="str">
        <f>IF(E365="x","Economic - "&amp;G365,"Environmental - "&amp;G365)</f>
        <v>Environmental - Resource Use &amp; Circular Economy</v>
      </c>
      <c r="I365" s="12" t="s">
        <v>733</v>
      </c>
      <c r="J365" s="9" t="s">
        <v>734</v>
      </c>
      <c r="K365" s="9" t="s">
        <v>10</v>
      </c>
      <c r="L365" s="9" t="s">
        <v>11</v>
      </c>
      <c r="M365" s="9" t="s">
        <v>468</v>
      </c>
      <c r="N365" s="9">
        <f>LEN(O365) - LEN(SUBSTITUTE(O365, ";", ""))+1</f>
        <v>2</v>
      </c>
      <c r="O365" s="9" t="s">
        <v>73</v>
      </c>
      <c r="P365" s="9" t="s">
        <v>74</v>
      </c>
      <c r="Q365" s="9" t="s">
        <v>1293</v>
      </c>
      <c r="R365" s="9" t="s">
        <v>17</v>
      </c>
      <c r="S365" s="9" t="s">
        <v>1827</v>
      </c>
      <c r="W365" s="23"/>
    </row>
    <row r="366" spans="1:23" ht="51.5" customHeight="1" x14ac:dyDescent="0.35">
      <c r="A366" s="9" t="s">
        <v>1690</v>
      </c>
      <c r="B366" s="9" t="s">
        <v>707</v>
      </c>
      <c r="C366" s="9" t="s">
        <v>726</v>
      </c>
      <c r="D366" s="9" t="str">
        <f>B366&amp;" - "&amp;C366</f>
        <v>Output - Waste</v>
      </c>
      <c r="F366" s="9" t="s">
        <v>8</v>
      </c>
      <c r="G366" s="9" t="s">
        <v>1197</v>
      </c>
      <c r="H366" s="9" t="str">
        <f>IF(E366="x","Economic - "&amp;G366,"Environmental - "&amp;G366)</f>
        <v>Environmental - Resource Use &amp; Circular Economy</v>
      </c>
      <c r="I366" s="12" t="s">
        <v>735</v>
      </c>
      <c r="J366" s="9" t="s">
        <v>1261</v>
      </c>
      <c r="K366" s="9" t="s">
        <v>10</v>
      </c>
      <c r="L366" s="9" t="s">
        <v>11</v>
      </c>
      <c r="M366" s="9" t="s">
        <v>736</v>
      </c>
      <c r="N366" s="9">
        <f>LEN(O366) - LEN(SUBSTITUTE(O366, ";", ""))+1</f>
        <v>1</v>
      </c>
      <c r="O366" s="9" t="s">
        <v>1001</v>
      </c>
      <c r="P366" s="9" t="s">
        <v>69</v>
      </c>
      <c r="Q366" s="9" t="s">
        <v>244</v>
      </c>
      <c r="R366" s="9" t="s">
        <v>1346</v>
      </c>
      <c r="S366" s="9" t="s">
        <v>17</v>
      </c>
      <c r="W366" s="23"/>
    </row>
    <row r="367" spans="1:23" ht="51.5" customHeight="1" x14ac:dyDescent="0.35">
      <c r="A367" s="9" t="s">
        <v>1691</v>
      </c>
      <c r="B367" s="9" t="s">
        <v>707</v>
      </c>
      <c r="C367" s="9" t="s">
        <v>726</v>
      </c>
      <c r="D367" s="9" t="str">
        <f>B367&amp;" - "&amp;C367</f>
        <v>Output - Waste</v>
      </c>
      <c r="E367" s="9" t="s">
        <v>8</v>
      </c>
      <c r="G367" s="9" t="s">
        <v>1086</v>
      </c>
      <c r="H367" s="9" t="str">
        <f>IF(E367="x","Economic - "&amp;G367,"Environmental - "&amp;G367)</f>
        <v>Economic - Cost</v>
      </c>
      <c r="I367" s="12" t="s">
        <v>737</v>
      </c>
      <c r="J367" s="9" t="s">
        <v>738</v>
      </c>
      <c r="K367" s="9" t="s">
        <v>10</v>
      </c>
      <c r="L367" s="9" t="s">
        <v>19</v>
      </c>
      <c r="M367" s="9" t="s">
        <v>468</v>
      </c>
      <c r="N367" s="9">
        <f>LEN(O367) - LEN(SUBSTITUTE(O367, ";", ""))+1</f>
        <v>2</v>
      </c>
      <c r="O367" s="9" t="s">
        <v>358</v>
      </c>
      <c r="P367" s="9" t="s">
        <v>14</v>
      </c>
      <c r="Q367" s="9" t="s">
        <v>308</v>
      </c>
      <c r="R367" s="9" t="s">
        <v>1284</v>
      </c>
      <c r="S367" s="9" t="s">
        <v>1827</v>
      </c>
      <c r="W367" s="23"/>
    </row>
    <row r="368" spans="1:23" ht="51.5" customHeight="1" x14ac:dyDescent="0.35">
      <c r="A368" s="9" t="s">
        <v>1692</v>
      </c>
      <c r="B368" s="9" t="s">
        <v>707</v>
      </c>
      <c r="C368" s="9" t="s">
        <v>726</v>
      </c>
      <c r="D368" s="9" t="str">
        <f>B368&amp;" - "&amp;C368</f>
        <v>Output - Waste</v>
      </c>
      <c r="E368" s="9" t="s">
        <v>8</v>
      </c>
      <c r="G368" s="9" t="s">
        <v>1086</v>
      </c>
      <c r="H368" s="9" t="str">
        <f>IF(E368="x","Economic - "&amp;G368,"Environmental - "&amp;G368)</f>
        <v>Economic - Cost</v>
      </c>
      <c r="I368" s="12" t="s">
        <v>739</v>
      </c>
      <c r="J368" s="9" t="s">
        <v>2021</v>
      </c>
      <c r="K368" s="9" t="s">
        <v>10</v>
      </c>
      <c r="L368" s="9" t="s">
        <v>19</v>
      </c>
      <c r="M368" s="9" t="s">
        <v>468</v>
      </c>
      <c r="N368" s="9">
        <f>LEN(O368) - LEN(SUBSTITUTE(O368, ";", ""))+1</f>
        <v>1</v>
      </c>
      <c r="O368" s="9" t="s">
        <v>38</v>
      </c>
      <c r="P368" s="9" t="s">
        <v>39</v>
      </c>
      <c r="Q368" s="9" t="s">
        <v>40</v>
      </c>
      <c r="R368" s="9" t="s">
        <v>17</v>
      </c>
      <c r="S368" s="9" t="s">
        <v>1825</v>
      </c>
      <c r="W368" s="23"/>
    </row>
    <row r="369" spans="1:23" ht="51.5" customHeight="1" x14ac:dyDescent="0.35">
      <c r="A369" s="9" t="s">
        <v>1693</v>
      </c>
      <c r="B369" s="9" t="s">
        <v>707</v>
      </c>
      <c r="C369" s="9" t="s">
        <v>726</v>
      </c>
      <c r="D369" s="9" t="str">
        <f>B369&amp;" - "&amp;C369</f>
        <v>Output - Waste</v>
      </c>
      <c r="E369" s="9" t="s">
        <v>8</v>
      </c>
      <c r="G369" s="9" t="s">
        <v>1086</v>
      </c>
      <c r="H369" s="9" t="str">
        <f>IF(E369="x","Economic - "&amp;G369,"Environmental - "&amp;G369)</f>
        <v>Economic - Cost</v>
      </c>
      <c r="I369" s="12" t="s">
        <v>740</v>
      </c>
      <c r="J369" s="9" t="s">
        <v>741</v>
      </c>
      <c r="K369" s="9" t="s">
        <v>10</v>
      </c>
      <c r="L369" s="9" t="s">
        <v>19</v>
      </c>
      <c r="M369" s="9" t="s">
        <v>468</v>
      </c>
      <c r="N369" s="9">
        <f>LEN(O369) - LEN(SUBSTITUTE(O369, ";", ""))+1</f>
        <v>1</v>
      </c>
      <c r="O369" s="9" t="s">
        <v>38</v>
      </c>
      <c r="P369" s="9" t="s">
        <v>39</v>
      </c>
      <c r="Q369" s="9" t="s">
        <v>40</v>
      </c>
      <c r="R369" s="9" t="s">
        <v>17</v>
      </c>
      <c r="S369" s="9" t="s">
        <v>1825</v>
      </c>
      <c r="W369" s="23"/>
    </row>
    <row r="370" spans="1:23" ht="51.5" customHeight="1" x14ac:dyDescent="0.35">
      <c r="A370" s="9" t="s">
        <v>1694</v>
      </c>
      <c r="B370" s="9" t="s">
        <v>707</v>
      </c>
      <c r="C370" s="9" t="s">
        <v>726</v>
      </c>
      <c r="D370" s="9" t="str">
        <f>B370&amp;" - "&amp;C370</f>
        <v>Output - Waste</v>
      </c>
      <c r="E370" s="9" t="s">
        <v>8</v>
      </c>
      <c r="G370" s="9" t="s">
        <v>1086</v>
      </c>
      <c r="H370" s="9" t="str">
        <f>IF(E370="x","Economic - "&amp;G370,"Environmental - "&amp;G370)</f>
        <v>Economic - Cost</v>
      </c>
      <c r="I370" s="12" t="s">
        <v>742</v>
      </c>
      <c r="J370" s="9" t="s">
        <v>743</v>
      </c>
      <c r="K370" s="9" t="s">
        <v>10</v>
      </c>
      <c r="L370" s="9" t="s">
        <v>19</v>
      </c>
      <c r="M370" s="9" t="s">
        <v>468</v>
      </c>
      <c r="N370" s="9">
        <f>LEN(O370) - LEN(SUBSTITUTE(O370, ";", ""))+1</f>
        <v>1</v>
      </c>
      <c r="O370" s="9" t="s">
        <v>38</v>
      </c>
      <c r="P370" s="9" t="s">
        <v>39</v>
      </c>
      <c r="Q370" s="9" t="s">
        <v>40</v>
      </c>
      <c r="R370" s="9" t="s">
        <v>17</v>
      </c>
      <c r="S370" s="9" t="s">
        <v>1825</v>
      </c>
      <c r="W370" s="23"/>
    </row>
    <row r="371" spans="1:23" ht="51.5" customHeight="1" x14ac:dyDescent="0.35">
      <c r="A371" s="9" t="s">
        <v>1695</v>
      </c>
      <c r="B371" s="9" t="s">
        <v>707</v>
      </c>
      <c r="C371" s="9" t="s">
        <v>726</v>
      </c>
      <c r="D371" s="9" t="str">
        <f>B371&amp;" - "&amp;C371</f>
        <v>Output - Waste</v>
      </c>
      <c r="E371" s="9" t="s">
        <v>8</v>
      </c>
      <c r="G371" s="9" t="s">
        <v>1086</v>
      </c>
      <c r="H371" s="9" t="str">
        <f>IF(E371="x","Economic - "&amp;G371,"Environmental - "&amp;G371)</f>
        <v>Economic - Cost</v>
      </c>
      <c r="I371" s="12" t="s">
        <v>744</v>
      </c>
      <c r="J371" s="9" t="s">
        <v>745</v>
      </c>
      <c r="K371" s="9" t="s">
        <v>10</v>
      </c>
      <c r="L371" s="9" t="s">
        <v>19</v>
      </c>
      <c r="M371" s="9" t="s">
        <v>468</v>
      </c>
      <c r="N371" s="9">
        <f>LEN(O371) - LEN(SUBSTITUTE(O371, ";", ""))+1</f>
        <v>1</v>
      </c>
      <c r="O371" s="9" t="s">
        <v>38</v>
      </c>
      <c r="P371" s="9" t="s">
        <v>39</v>
      </c>
      <c r="Q371" s="9" t="s">
        <v>40</v>
      </c>
      <c r="R371" s="9" t="s">
        <v>17</v>
      </c>
      <c r="S371" s="9" t="s">
        <v>1825</v>
      </c>
      <c r="W371" s="23"/>
    </row>
    <row r="372" spans="1:23" ht="51.5" customHeight="1" x14ac:dyDescent="0.35">
      <c r="A372" s="9" t="s">
        <v>1696</v>
      </c>
      <c r="B372" s="9" t="s">
        <v>707</v>
      </c>
      <c r="C372" s="9" t="s">
        <v>726</v>
      </c>
      <c r="D372" s="9" t="str">
        <f>B372&amp;" - "&amp;C372</f>
        <v>Output - Waste</v>
      </c>
      <c r="F372" s="9" t="s">
        <v>8</v>
      </c>
      <c r="G372" s="9" t="s">
        <v>1197</v>
      </c>
      <c r="H372" s="9" t="str">
        <f>IF(E372="x","Economic - "&amp;G372,"Environmental - "&amp;G372)</f>
        <v>Environmental - Resource Use &amp; Circular Economy</v>
      </c>
      <c r="I372" s="12" t="s">
        <v>746</v>
      </c>
      <c r="J372" s="9" t="s">
        <v>747</v>
      </c>
      <c r="K372" s="9" t="s">
        <v>10</v>
      </c>
      <c r="L372" s="9" t="s">
        <v>11</v>
      </c>
      <c r="M372" s="9" t="s">
        <v>468</v>
      </c>
      <c r="N372" s="9">
        <f>LEN(O372) - LEN(SUBSTITUTE(O372, ";", ""))+1</f>
        <v>16</v>
      </c>
      <c r="O372" s="9" t="s">
        <v>2001</v>
      </c>
      <c r="P372" s="9" t="s">
        <v>13</v>
      </c>
      <c r="Q372" s="9" t="s">
        <v>2133</v>
      </c>
      <c r="R372" s="9" t="s">
        <v>1286</v>
      </c>
      <c r="S372" s="9" t="s">
        <v>1823</v>
      </c>
      <c r="W372" s="23"/>
    </row>
    <row r="373" spans="1:23" ht="51.5" customHeight="1" x14ac:dyDescent="0.35">
      <c r="A373" s="9" t="s">
        <v>1697</v>
      </c>
      <c r="B373" s="9" t="s">
        <v>707</v>
      </c>
      <c r="C373" s="9" t="s">
        <v>726</v>
      </c>
      <c r="D373" s="9" t="str">
        <f>B373&amp;" - "&amp;C373</f>
        <v>Output - Waste</v>
      </c>
      <c r="F373" s="9" t="s">
        <v>8</v>
      </c>
      <c r="G373" s="9" t="s">
        <v>1197</v>
      </c>
      <c r="H373" s="9" t="str">
        <f>IF(E373="x","Economic - "&amp;G373,"Environmental - "&amp;G373)</f>
        <v>Environmental - Resource Use &amp; Circular Economy</v>
      </c>
      <c r="I373" s="12" t="s">
        <v>1236</v>
      </c>
      <c r="J373" s="9" t="s">
        <v>1237</v>
      </c>
      <c r="K373" s="9" t="s">
        <v>10</v>
      </c>
      <c r="L373" s="9" t="s">
        <v>1221</v>
      </c>
      <c r="M373" s="9" t="s">
        <v>468</v>
      </c>
      <c r="N373" s="9">
        <f>LEN(O373) - LEN(SUBSTITUTE(O373, ";", ""))+1</f>
        <v>2</v>
      </c>
      <c r="O373" s="9" t="s">
        <v>748</v>
      </c>
      <c r="P373" s="9" t="s">
        <v>39</v>
      </c>
      <c r="Q373" s="9" t="s">
        <v>1293</v>
      </c>
      <c r="R373" s="9" t="s">
        <v>17</v>
      </c>
      <c r="S373" s="9" t="s">
        <v>1827</v>
      </c>
      <c r="W373" s="23"/>
    </row>
    <row r="374" spans="1:23" ht="51.5" customHeight="1" x14ac:dyDescent="0.35">
      <c r="A374" s="9" t="s">
        <v>1698</v>
      </c>
      <c r="B374" s="9" t="s">
        <v>707</v>
      </c>
      <c r="C374" s="9" t="s">
        <v>726</v>
      </c>
      <c r="D374" s="9" t="str">
        <f>B374&amp;" - "&amp;C374</f>
        <v>Output - Waste</v>
      </c>
      <c r="F374" s="9" t="s">
        <v>8</v>
      </c>
      <c r="G374" s="9" t="s">
        <v>1197</v>
      </c>
      <c r="H374" s="9" t="str">
        <f>IF(E374="x","Economic - "&amp;G374,"Environmental - "&amp;G374)</f>
        <v>Environmental - Resource Use &amp; Circular Economy</v>
      </c>
      <c r="I374" s="12" t="s">
        <v>749</v>
      </c>
      <c r="J374" s="9" t="s">
        <v>1144</v>
      </c>
      <c r="K374" s="9" t="s">
        <v>10</v>
      </c>
      <c r="L374" s="9" t="s">
        <v>16</v>
      </c>
      <c r="M374" s="9" t="s">
        <v>468</v>
      </c>
      <c r="N374" s="9">
        <f>LEN(O374) - LEN(SUBSTITUTE(O374, ";", ""))+1</f>
        <v>2</v>
      </c>
      <c r="O374" s="9" t="s">
        <v>180</v>
      </c>
      <c r="P374" s="9" t="s">
        <v>84</v>
      </c>
      <c r="Q374" s="9" t="s">
        <v>1309</v>
      </c>
      <c r="R374" s="9" t="s">
        <v>1292</v>
      </c>
      <c r="S374" s="9" t="s">
        <v>17</v>
      </c>
      <c r="W374" s="23"/>
    </row>
    <row r="375" spans="1:23" ht="51.5" customHeight="1" x14ac:dyDescent="0.35">
      <c r="A375" s="9" t="s">
        <v>1699</v>
      </c>
      <c r="B375" s="9" t="s">
        <v>707</v>
      </c>
      <c r="C375" s="9" t="s">
        <v>726</v>
      </c>
      <c r="D375" s="9" t="str">
        <f>B375&amp;" - "&amp;C375</f>
        <v>Output - Waste</v>
      </c>
      <c r="F375" s="9" t="s">
        <v>8</v>
      </c>
      <c r="G375" s="9" t="s">
        <v>1197</v>
      </c>
      <c r="H375" s="9" t="str">
        <f>IF(E375="x","Economic - "&amp;G375,"Environmental - "&amp;G375)</f>
        <v>Environmental - Resource Use &amp; Circular Economy</v>
      </c>
      <c r="I375" s="12" t="s">
        <v>750</v>
      </c>
      <c r="J375" s="9" t="s">
        <v>751</v>
      </c>
      <c r="K375" s="9" t="s">
        <v>10</v>
      </c>
      <c r="L375" s="9" t="s">
        <v>11</v>
      </c>
      <c r="M375" s="9" t="s">
        <v>468</v>
      </c>
      <c r="N375" s="9">
        <f>LEN(O375) - LEN(SUBSTITUTE(O375, ";", ""))+1</f>
        <v>3</v>
      </c>
      <c r="O375" s="9" t="s">
        <v>752</v>
      </c>
      <c r="P375" s="9" t="s">
        <v>165</v>
      </c>
      <c r="Q375" s="9" t="s">
        <v>1347</v>
      </c>
      <c r="R375" s="9" t="s">
        <v>1316</v>
      </c>
      <c r="S375" s="9" t="s">
        <v>1820</v>
      </c>
      <c r="W375" s="23"/>
    </row>
    <row r="376" spans="1:23" ht="51.5" customHeight="1" x14ac:dyDescent="0.35">
      <c r="A376" s="9" t="s">
        <v>1700</v>
      </c>
      <c r="B376" s="9" t="s">
        <v>707</v>
      </c>
      <c r="C376" s="9" t="s">
        <v>726</v>
      </c>
      <c r="D376" s="9" t="str">
        <f>B376&amp;" - "&amp;C376</f>
        <v>Output - Waste</v>
      </c>
      <c r="E376" s="9" t="s">
        <v>8</v>
      </c>
      <c r="G376" s="9" t="s">
        <v>1086</v>
      </c>
      <c r="H376" s="9" t="str">
        <f>IF(E376="x","Economic - "&amp;G376,"Environmental - "&amp;G376)</f>
        <v>Economic - Cost</v>
      </c>
      <c r="I376" s="12" t="s">
        <v>2022</v>
      </c>
      <c r="J376" s="9" t="s">
        <v>2023</v>
      </c>
      <c r="K376" s="9" t="s">
        <v>10</v>
      </c>
      <c r="L376" s="9" t="s">
        <v>19</v>
      </c>
      <c r="M376" s="9" t="s">
        <v>468</v>
      </c>
      <c r="N376" s="9">
        <f>LEN(O376) - LEN(SUBSTITUTE(O376, ";", ""))+1</f>
        <v>1</v>
      </c>
      <c r="O376" s="9" t="s">
        <v>38</v>
      </c>
      <c r="P376" s="9" t="s">
        <v>39</v>
      </c>
      <c r="Q376" s="9" t="s">
        <v>40</v>
      </c>
      <c r="R376" s="9" t="s">
        <v>17</v>
      </c>
      <c r="S376" s="9" t="s">
        <v>1825</v>
      </c>
      <c r="W376" s="23"/>
    </row>
    <row r="377" spans="1:23" ht="51.5" customHeight="1" x14ac:dyDescent="0.35">
      <c r="A377" s="9" t="s">
        <v>1701</v>
      </c>
      <c r="B377" s="9" t="s">
        <v>707</v>
      </c>
      <c r="C377" s="9" t="s">
        <v>726</v>
      </c>
      <c r="D377" s="9" t="str">
        <f>B377&amp;" - "&amp;C377</f>
        <v>Output - Waste</v>
      </c>
      <c r="F377" s="9" t="s">
        <v>8</v>
      </c>
      <c r="G377" s="9" t="s">
        <v>1197</v>
      </c>
      <c r="H377" s="9" t="str">
        <f>IF(E377="x","Economic - "&amp;G377,"Environmental - "&amp;G377)</f>
        <v>Environmental - Resource Use &amp; Circular Economy</v>
      </c>
      <c r="I377" s="12" t="s">
        <v>2159</v>
      </c>
      <c r="J377" s="9" t="s">
        <v>753</v>
      </c>
      <c r="K377" s="9" t="s">
        <v>10</v>
      </c>
      <c r="L377" s="9" t="s">
        <v>11</v>
      </c>
      <c r="M377" s="9" t="s">
        <v>468</v>
      </c>
      <c r="N377" s="9">
        <f>LEN(O377) - LEN(SUBSTITUTE(O377, ";", ""))+1</f>
        <v>1</v>
      </c>
      <c r="O377" s="9" t="s">
        <v>28</v>
      </c>
      <c r="P377" s="9" t="s">
        <v>29</v>
      </c>
      <c r="Q377" s="9" t="s">
        <v>30</v>
      </c>
      <c r="R377" s="9" t="s">
        <v>31</v>
      </c>
      <c r="S377" s="9" t="s">
        <v>17</v>
      </c>
      <c r="W377" s="23"/>
    </row>
    <row r="378" spans="1:23" ht="51.5" customHeight="1" x14ac:dyDescent="0.35">
      <c r="A378" s="9" t="s">
        <v>1702</v>
      </c>
      <c r="B378" s="9" t="s">
        <v>707</v>
      </c>
      <c r="C378" s="9" t="s">
        <v>726</v>
      </c>
      <c r="D378" s="9" t="str">
        <f>B378&amp;" - "&amp;C378</f>
        <v>Output - Waste</v>
      </c>
      <c r="F378" s="9" t="s">
        <v>8</v>
      </c>
      <c r="G378" s="9" t="s">
        <v>1197</v>
      </c>
      <c r="H378" s="9" t="str">
        <f>IF(E378="x","Economic - "&amp;G378,"Environmental - "&amp;G378)</f>
        <v>Environmental - Resource Use &amp; Circular Economy</v>
      </c>
      <c r="I378" s="12" t="s">
        <v>2157</v>
      </c>
      <c r="J378" s="9" t="s">
        <v>754</v>
      </c>
      <c r="K378" s="9" t="s">
        <v>10</v>
      </c>
      <c r="L378" s="9" t="s">
        <v>11</v>
      </c>
      <c r="M378" s="9" t="s">
        <v>468</v>
      </c>
      <c r="N378" s="9">
        <f>LEN(O378) - LEN(SUBSTITUTE(O378, ";", ""))+1</f>
        <v>1</v>
      </c>
      <c r="O378" s="9" t="s">
        <v>28</v>
      </c>
      <c r="P378" s="9" t="s">
        <v>29</v>
      </c>
      <c r="Q378" s="9" t="s">
        <v>30</v>
      </c>
      <c r="R378" s="9" t="s">
        <v>31</v>
      </c>
      <c r="S378" s="9" t="s">
        <v>17</v>
      </c>
      <c r="W378" s="23"/>
    </row>
    <row r="379" spans="1:23" ht="51.5" customHeight="1" x14ac:dyDescent="0.35">
      <c r="A379" s="9" t="s">
        <v>1703</v>
      </c>
      <c r="B379" s="9" t="s">
        <v>707</v>
      </c>
      <c r="C379" s="9" t="s">
        <v>726</v>
      </c>
      <c r="D379" s="9" t="str">
        <f>B379&amp;" - "&amp;C379</f>
        <v>Output - Waste</v>
      </c>
      <c r="F379" s="9" t="s">
        <v>8</v>
      </c>
      <c r="G379" s="9" t="s">
        <v>1197</v>
      </c>
      <c r="H379" s="9" t="str">
        <f>IF(E379="x","Economic - "&amp;G379,"Environmental - "&amp;G379)</f>
        <v>Environmental - Resource Use &amp; Circular Economy</v>
      </c>
      <c r="I379" s="12" t="s">
        <v>2158</v>
      </c>
      <c r="J379" s="9" t="s">
        <v>755</v>
      </c>
      <c r="K379" s="9" t="s">
        <v>10</v>
      </c>
      <c r="L379" s="9" t="s">
        <v>11</v>
      </c>
      <c r="M379" s="9" t="s">
        <v>468</v>
      </c>
      <c r="N379" s="9">
        <f>LEN(O379) - LEN(SUBSTITUTE(O379, ";", ""))+1</f>
        <v>1</v>
      </c>
      <c r="O379" s="9" t="s">
        <v>28</v>
      </c>
      <c r="P379" s="9" t="s">
        <v>29</v>
      </c>
      <c r="Q379" s="9" t="s">
        <v>30</v>
      </c>
      <c r="R379" s="9" t="s">
        <v>31</v>
      </c>
      <c r="S379" s="9" t="s">
        <v>17</v>
      </c>
      <c r="W379" s="23"/>
    </row>
    <row r="380" spans="1:23" ht="51.5" customHeight="1" x14ac:dyDescent="0.35">
      <c r="A380" s="9" t="s">
        <v>1704</v>
      </c>
      <c r="B380" s="9" t="s">
        <v>707</v>
      </c>
      <c r="C380" s="9" t="s">
        <v>726</v>
      </c>
      <c r="D380" s="9" t="str">
        <f>B380&amp;" - "&amp;C380</f>
        <v>Output - Waste</v>
      </c>
      <c r="F380" s="9" t="s">
        <v>8</v>
      </c>
      <c r="G380" s="9" t="s">
        <v>1197</v>
      </c>
      <c r="H380" s="9" t="str">
        <f>IF(E380="x","Economic - "&amp;G380,"Environmental - "&amp;G380)</f>
        <v>Environmental - Resource Use &amp; Circular Economy</v>
      </c>
      <c r="I380" s="12" t="s">
        <v>756</v>
      </c>
      <c r="J380" s="9" t="s">
        <v>757</v>
      </c>
      <c r="K380" s="9" t="s">
        <v>10</v>
      </c>
      <c r="L380" s="9" t="s">
        <v>11</v>
      </c>
      <c r="M380" s="9" t="s">
        <v>468</v>
      </c>
      <c r="N380" s="9">
        <f>LEN(O380) - LEN(SUBSTITUTE(O380, ";", ""))+1</f>
        <v>1</v>
      </c>
      <c r="O380" s="9" t="s">
        <v>28</v>
      </c>
      <c r="P380" s="9" t="s">
        <v>29</v>
      </c>
      <c r="Q380" s="9" t="s">
        <v>30</v>
      </c>
      <c r="R380" s="9" t="s">
        <v>31</v>
      </c>
      <c r="S380" s="9" t="s">
        <v>17</v>
      </c>
      <c r="W380" s="23"/>
    </row>
    <row r="381" spans="1:23" ht="51.5" customHeight="1" x14ac:dyDescent="0.35">
      <c r="A381" s="9" t="s">
        <v>1705</v>
      </c>
      <c r="B381" s="9" t="s">
        <v>707</v>
      </c>
      <c r="C381" s="9" t="s">
        <v>726</v>
      </c>
      <c r="D381" s="9" t="str">
        <f>B381&amp;" - "&amp;C381</f>
        <v>Output - Waste</v>
      </c>
      <c r="F381" s="9" t="s">
        <v>8</v>
      </c>
      <c r="G381" s="9" t="s">
        <v>1197</v>
      </c>
      <c r="H381" s="9" t="str">
        <f>IF(E381="x","Economic - "&amp;G381,"Environmental - "&amp;G381)</f>
        <v>Environmental - Resource Use &amp; Circular Economy</v>
      </c>
      <c r="I381" s="12" t="s">
        <v>758</v>
      </c>
      <c r="J381" s="9" t="s">
        <v>759</v>
      </c>
      <c r="K381" s="9" t="s">
        <v>10</v>
      </c>
      <c r="L381" s="9" t="s">
        <v>11</v>
      </c>
      <c r="M381" s="9" t="s">
        <v>468</v>
      </c>
      <c r="N381" s="9">
        <f>LEN(O381) - LEN(SUBSTITUTE(O381, ";", ""))+1</f>
        <v>3</v>
      </c>
      <c r="O381" s="9" t="s">
        <v>1358</v>
      </c>
      <c r="P381" s="9" t="s">
        <v>74</v>
      </c>
      <c r="Q381" s="9" t="s">
        <v>1293</v>
      </c>
      <c r="R381" s="9" t="s">
        <v>17</v>
      </c>
      <c r="S381" s="9" t="s">
        <v>1823</v>
      </c>
      <c r="W381" s="23"/>
    </row>
    <row r="382" spans="1:23" ht="51.5" customHeight="1" x14ac:dyDescent="0.35">
      <c r="A382" s="9" t="s">
        <v>1706</v>
      </c>
      <c r="B382" s="9" t="s">
        <v>707</v>
      </c>
      <c r="C382" s="9" t="s">
        <v>726</v>
      </c>
      <c r="D382" s="9" t="str">
        <f>B382&amp;" - "&amp;C382</f>
        <v>Output - Waste</v>
      </c>
      <c r="F382" s="9" t="s">
        <v>8</v>
      </c>
      <c r="G382" s="9" t="s">
        <v>1197</v>
      </c>
      <c r="H382" s="9" t="str">
        <f>IF(E382="x","Economic - "&amp;G382,"Environmental - "&amp;G382)</f>
        <v>Environmental - Resource Use &amp; Circular Economy</v>
      </c>
      <c r="I382" s="12" t="s">
        <v>760</v>
      </c>
      <c r="J382" s="9" t="s">
        <v>761</v>
      </c>
      <c r="K382" s="9" t="s">
        <v>10</v>
      </c>
      <c r="L382" s="9" t="s">
        <v>762</v>
      </c>
      <c r="M382" s="9" t="s">
        <v>468</v>
      </c>
      <c r="N382" s="9">
        <f>LEN(O382) - LEN(SUBSTITUTE(O382, ";", ""))+1</f>
        <v>1</v>
      </c>
      <c r="O382" s="9" t="s">
        <v>895</v>
      </c>
      <c r="P382" s="9" t="s">
        <v>84</v>
      </c>
      <c r="Q382" s="9" t="s">
        <v>117</v>
      </c>
      <c r="R382" s="9" t="s">
        <v>118</v>
      </c>
      <c r="S382" s="9" t="s">
        <v>17</v>
      </c>
      <c r="W382" s="23"/>
    </row>
    <row r="383" spans="1:23" ht="51.5" customHeight="1" x14ac:dyDescent="0.35">
      <c r="A383" s="9" t="s">
        <v>1707</v>
      </c>
      <c r="B383" s="9" t="s">
        <v>707</v>
      </c>
      <c r="C383" s="9" t="s">
        <v>726</v>
      </c>
      <c r="D383" s="9" t="str">
        <f>B383&amp;" - "&amp;C383</f>
        <v>Output - Waste</v>
      </c>
      <c r="F383" s="9" t="s">
        <v>8</v>
      </c>
      <c r="G383" s="9" t="s">
        <v>1197</v>
      </c>
      <c r="H383" s="9" t="str">
        <f>IF(E383="x","Economic - "&amp;G383,"Environmental - "&amp;G383)</f>
        <v>Environmental - Resource Use &amp; Circular Economy</v>
      </c>
      <c r="I383" s="12" t="s">
        <v>763</v>
      </c>
      <c r="J383" s="9" t="s">
        <v>764</v>
      </c>
      <c r="K383" s="9" t="s">
        <v>10</v>
      </c>
      <c r="L383" s="9" t="s">
        <v>11</v>
      </c>
      <c r="M383" s="9" t="s">
        <v>468</v>
      </c>
      <c r="N383" s="9">
        <f>LEN(O383) - LEN(SUBSTITUTE(O383, ";", ""))+1</f>
        <v>1</v>
      </c>
      <c r="O383" s="9" t="s">
        <v>389</v>
      </c>
      <c r="P383" s="9" t="s">
        <v>74</v>
      </c>
      <c r="Q383" s="9" t="s">
        <v>17</v>
      </c>
      <c r="R383" s="9" t="s">
        <v>17</v>
      </c>
      <c r="S383" s="9" t="s">
        <v>17</v>
      </c>
      <c r="W383" s="23"/>
    </row>
    <row r="384" spans="1:23" ht="51.5" customHeight="1" x14ac:dyDescent="0.35">
      <c r="A384" s="9" t="s">
        <v>1708</v>
      </c>
      <c r="B384" s="9" t="s">
        <v>707</v>
      </c>
      <c r="C384" s="9" t="s">
        <v>726</v>
      </c>
      <c r="D384" s="9" t="str">
        <f>B384&amp;" - "&amp;C384</f>
        <v>Output - Waste</v>
      </c>
      <c r="F384" s="9" t="s">
        <v>8</v>
      </c>
      <c r="G384" s="9" t="s">
        <v>1197</v>
      </c>
      <c r="H384" s="9" t="str">
        <f>IF(E384="x","Economic - "&amp;G384,"Environmental - "&amp;G384)</f>
        <v>Environmental - Resource Use &amp; Circular Economy</v>
      </c>
      <c r="I384" s="12" t="s">
        <v>765</v>
      </c>
      <c r="J384" s="9" t="s">
        <v>1259</v>
      </c>
      <c r="K384" s="9" t="s">
        <v>10</v>
      </c>
      <c r="L384" s="9" t="s">
        <v>295</v>
      </c>
      <c r="M384" s="9" t="s">
        <v>468</v>
      </c>
      <c r="N384" s="9">
        <f>LEN(O384) - LEN(SUBSTITUTE(O384, ";", ""))+1</f>
        <v>4</v>
      </c>
      <c r="O384" s="9" t="s">
        <v>766</v>
      </c>
      <c r="P384" s="9" t="s">
        <v>13</v>
      </c>
      <c r="Q384" s="9" t="s">
        <v>1348</v>
      </c>
      <c r="R384" s="9" t="s">
        <v>1286</v>
      </c>
      <c r="S384" s="9" t="s">
        <v>1827</v>
      </c>
      <c r="W384" s="23"/>
    </row>
    <row r="385" spans="1:23" ht="51.5" customHeight="1" x14ac:dyDescent="0.35">
      <c r="A385" s="9" t="s">
        <v>1709</v>
      </c>
      <c r="B385" s="9" t="s">
        <v>707</v>
      </c>
      <c r="C385" s="9" t="s">
        <v>726</v>
      </c>
      <c r="D385" s="9" t="str">
        <f>B385&amp;" - "&amp;C385</f>
        <v>Output - Waste</v>
      </c>
      <c r="F385" s="9" t="s">
        <v>8</v>
      </c>
      <c r="G385" s="9" t="s">
        <v>1197</v>
      </c>
      <c r="H385" s="9" t="str">
        <f>IF(E385="x","Economic - "&amp;G385,"Environmental - "&amp;G385)</f>
        <v>Environmental - Resource Use &amp; Circular Economy</v>
      </c>
      <c r="I385" s="12" t="s">
        <v>767</v>
      </c>
      <c r="J385" s="9" t="s">
        <v>768</v>
      </c>
      <c r="K385" s="9" t="s">
        <v>10</v>
      </c>
      <c r="L385" s="9" t="s">
        <v>1279</v>
      </c>
      <c r="M385" s="9" t="s">
        <v>468</v>
      </c>
      <c r="N385" s="9">
        <f>LEN(O385) - LEN(SUBSTITUTE(O385, ";", ""))+1</f>
        <v>1</v>
      </c>
      <c r="O385" s="9" t="s">
        <v>38</v>
      </c>
      <c r="P385" s="9" t="s">
        <v>39</v>
      </c>
      <c r="Q385" s="9" t="s">
        <v>40</v>
      </c>
      <c r="R385" s="9" t="s">
        <v>17</v>
      </c>
      <c r="S385" s="9" t="s">
        <v>1825</v>
      </c>
      <c r="W385" s="23"/>
    </row>
    <row r="386" spans="1:23" ht="51.5" customHeight="1" x14ac:dyDescent="0.35">
      <c r="A386" s="9" t="s">
        <v>1710</v>
      </c>
      <c r="B386" s="9" t="s">
        <v>707</v>
      </c>
      <c r="C386" s="9" t="s">
        <v>726</v>
      </c>
      <c r="D386" s="9" t="str">
        <f>B386&amp;" - "&amp;C386</f>
        <v>Output - Waste</v>
      </c>
      <c r="F386" s="9" t="s">
        <v>8</v>
      </c>
      <c r="G386" s="9" t="s">
        <v>1197</v>
      </c>
      <c r="H386" s="9" t="str">
        <f>IF(E386="x","Economic - "&amp;G386,"Environmental - "&amp;G386)</f>
        <v>Environmental - Resource Use &amp; Circular Economy</v>
      </c>
      <c r="I386" s="12" t="s">
        <v>769</v>
      </c>
      <c r="J386" s="9" t="s">
        <v>1188</v>
      </c>
      <c r="K386" s="9" t="s">
        <v>10</v>
      </c>
      <c r="L386" s="9" t="s">
        <v>314</v>
      </c>
      <c r="M386" s="9" t="s">
        <v>468</v>
      </c>
      <c r="N386" s="9">
        <f>LEN(O386) - LEN(SUBSTITUTE(O386, ";", ""))+1</f>
        <v>1</v>
      </c>
      <c r="O386" s="9" t="s">
        <v>38</v>
      </c>
      <c r="P386" s="9" t="s">
        <v>39</v>
      </c>
      <c r="Q386" s="9" t="s">
        <v>40</v>
      </c>
      <c r="R386" s="9" t="s">
        <v>17</v>
      </c>
      <c r="S386" s="9" t="s">
        <v>1825</v>
      </c>
      <c r="W386" s="23"/>
    </row>
    <row r="387" spans="1:23" ht="51.5" customHeight="1" x14ac:dyDescent="0.35">
      <c r="A387" s="9" t="s">
        <v>1711</v>
      </c>
      <c r="B387" s="9" t="s">
        <v>707</v>
      </c>
      <c r="C387" s="9" t="s">
        <v>726</v>
      </c>
      <c r="D387" s="9" t="str">
        <f>B387&amp;" - "&amp;C387</f>
        <v>Output - Waste</v>
      </c>
      <c r="F387" s="9" t="s">
        <v>8</v>
      </c>
      <c r="G387" s="9" t="s">
        <v>1197</v>
      </c>
      <c r="H387" s="9" t="str">
        <f>IF(E387="x","Economic - "&amp;G387,"Environmental - "&amp;G387)</f>
        <v>Environmental - Resource Use &amp; Circular Economy</v>
      </c>
      <c r="I387" s="12" t="s">
        <v>770</v>
      </c>
      <c r="J387" s="9" t="s">
        <v>771</v>
      </c>
      <c r="K387" s="9" t="s">
        <v>10</v>
      </c>
      <c r="L387" s="9" t="s">
        <v>314</v>
      </c>
      <c r="M387" s="9" t="s">
        <v>468</v>
      </c>
      <c r="N387" s="9">
        <f>LEN(O387) - LEN(SUBSTITUTE(O387, ";", ""))+1</f>
        <v>1</v>
      </c>
      <c r="O387" s="9" t="s">
        <v>38</v>
      </c>
      <c r="P387" s="9" t="s">
        <v>39</v>
      </c>
      <c r="Q387" s="9" t="s">
        <v>40</v>
      </c>
      <c r="R387" s="9" t="s">
        <v>17</v>
      </c>
      <c r="S387" s="9" t="s">
        <v>1825</v>
      </c>
      <c r="W387" s="23"/>
    </row>
    <row r="388" spans="1:23" ht="51.5" customHeight="1" x14ac:dyDescent="0.35">
      <c r="A388" s="9" t="s">
        <v>1712</v>
      </c>
      <c r="B388" s="9" t="s">
        <v>707</v>
      </c>
      <c r="C388" s="9" t="s">
        <v>726</v>
      </c>
      <c r="D388" s="9" t="str">
        <f>B388&amp;" - "&amp;C388</f>
        <v>Output - Waste</v>
      </c>
      <c r="F388" s="9" t="s">
        <v>8</v>
      </c>
      <c r="G388" s="9" t="s">
        <v>1197</v>
      </c>
      <c r="H388" s="9" t="str">
        <f>IF(E388="x","Economic - "&amp;G388,"Environmental - "&amp;G388)</f>
        <v>Environmental - Resource Use &amp; Circular Economy</v>
      </c>
      <c r="I388" s="12" t="s">
        <v>772</v>
      </c>
      <c r="J388" s="9" t="s">
        <v>1264</v>
      </c>
      <c r="K388" s="9" t="s">
        <v>10</v>
      </c>
      <c r="L388" s="9" t="s">
        <v>16</v>
      </c>
      <c r="M388" s="9" t="s">
        <v>468</v>
      </c>
      <c r="N388" s="9">
        <f>LEN(O388) - LEN(SUBSTITUTE(O388, ";", ""))+1</f>
        <v>1</v>
      </c>
      <c r="O388" s="9" t="s">
        <v>38</v>
      </c>
      <c r="P388" s="9" t="s">
        <v>39</v>
      </c>
      <c r="Q388" s="9" t="s">
        <v>40</v>
      </c>
      <c r="R388" s="9" t="s">
        <v>17</v>
      </c>
      <c r="S388" s="9" t="s">
        <v>1825</v>
      </c>
      <c r="W388" s="23"/>
    </row>
    <row r="389" spans="1:23" ht="51.5" customHeight="1" x14ac:dyDescent="0.35">
      <c r="A389" s="9" t="s">
        <v>1713</v>
      </c>
      <c r="B389" s="9" t="s">
        <v>707</v>
      </c>
      <c r="C389" s="9" t="s">
        <v>726</v>
      </c>
      <c r="D389" s="9" t="str">
        <f>B389&amp;" - "&amp;C389</f>
        <v>Output - Waste</v>
      </c>
      <c r="F389" s="9" t="s">
        <v>8</v>
      </c>
      <c r="G389" s="9" t="s">
        <v>1197</v>
      </c>
      <c r="H389" s="9" t="str">
        <f>IF(E389="x","Economic - "&amp;G389,"Environmental - "&amp;G389)</f>
        <v>Environmental - Resource Use &amp; Circular Economy</v>
      </c>
      <c r="I389" s="12" t="s">
        <v>773</v>
      </c>
      <c r="J389" s="9" t="s">
        <v>774</v>
      </c>
      <c r="K389" s="9" t="s">
        <v>10</v>
      </c>
      <c r="L389" s="9" t="s">
        <v>11</v>
      </c>
      <c r="M389" s="9" t="s">
        <v>468</v>
      </c>
      <c r="N389" s="9">
        <f>LEN(O389) - LEN(SUBSTITUTE(O389, ";", ""))+1</f>
        <v>1</v>
      </c>
      <c r="O389" s="9" t="s">
        <v>255</v>
      </c>
      <c r="P389" s="9" t="s">
        <v>39</v>
      </c>
      <c r="Q389" s="9" t="s">
        <v>2112</v>
      </c>
      <c r="R389" s="9" t="s">
        <v>17</v>
      </c>
      <c r="S389" s="9" t="s">
        <v>1830</v>
      </c>
      <c r="W389" s="23"/>
    </row>
    <row r="390" spans="1:23" ht="51.5" customHeight="1" x14ac:dyDescent="0.35">
      <c r="A390" s="9" t="s">
        <v>1714</v>
      </c>
      <c r="B390" s="9" t="s">
        <v>707</v>
      </c>
      <c r="C390" s="9" t="s">
        <v>726</v>
      </c>
      <c r="D390" s="9" t="str">
        <f>B390&amp;" - "&amp;C390</f>
        <v>Output - Waste</v>
      </c>
      <c r="F390" s="9" t="s">
        <v>8</v>
      </c>
      <c r="G390" s="9" t="s">
        <v>1197</v>
      </c>
      <c r="H390" s="9" t="str">
        <f>IF(E390="x","Economic - "&amp;G390,"Environmental - "&amp;G390)</f>
        <v>Environmental - Resource Use &amp; Circular Economy</v>
      </c>
      <c r="I390" s="12" t="s">
        <v>775</v>
      </c>
      <c r="J390" s="9" t="s">
        <v>1918</v>
      </c>
      <c r="K390" s="9" t="s">
        <v>10</v>
      </c>
      <c r="L390" s="9" t="s">
        <v>11</v>
      </c>
      <c r="M390" s="9" t="s">
        <v>468</v>
      </c>
      <c r="N390" s="9">
        <f>LEN(O390) - LEN(SUBSTITUTE(O390, ";", ""))+1</f>
        <v>15</v>
      </c>
      <c r="O390" s="9" t="s">
        <v>2082</v>
      </c>
      <c r="P390" s="9" t="s">
        <v>13</v>
      </c>
      <c r="Q390" s="9" t="s">
        <v>2134</v>
      </c>
      <c r="R390" s="9" t="s">
        <v>1286</v>
      </c>
      <c r="S390" s="9" t="s">
        <v>1823</v>
      </c>
      <c r="W390" s="23"/>
    </row>
    <row r="391" spans="1:23" ht="51.5" customHeight="1" x14ac:dyDescent="0.35">
      <c r="A391" s="9" t="s">
        <v>1715</v>
      </c>
      <c r="B391" s="9" t="s">
        <v>707</v>
      </c>
      <c r="C391" s="9" t="s">
        <v>726</v>
      </c>
      <c r="D391" s="9" t="str">
        <f>B391&amp;" - "&amp;C391</f>
        <v>Output - Waste</v>
      </c>
      <c r="F391" s="9" t="s">
        <v>8</v>
      </c>
      <c r="G391" s="9" t="s">
        <v>1197</v>
      </c>
      <c r="H391" s="9" t="str">
        <f>IF(E391="x","Economic - "&amp;G391,"Environmental - "&amp;G391)</f>
        <v>Environmental - Resource Use &amp; Circular Economy</v>
      </c>
      <c r="I391" s="12" t="s">
        <v>776</v>
      </c>
      <c r="J391" s="9" t="s">
        <v>777</v>
      </c>
      <c r="K391" s="9" t="s">
        <v>10</v>
      </c>
      <c r="L391" s="9" t="s">
        <v>1252</v>
      </c>
      <c r="M391" s="9" t="s">
        <v>468</v>
      </c>
      <c r="N391" s="9">
        <f>LEN(O391) - LEN(SUBSTITUTE(O391, ";", ""))+1</f>
        <v>3</v>
      </c>
      <c r="O391" s="9" t="s">
        <v>1063</v>
      </c>
      <c r="P391" s="9" t="s">
        <v>74</v>
      </c>
      <c r="Q391" s="9" t="s">
        <v>1329</v>
      </c>
      <c r="R391" s="9" t="s">
        <v>17</v>
      </c>
      <c r="S391" s="9" t="s">
        <v>1824</v>
      </c>
      <c r="W391" s="23"/>
    </row>
    <row r="392" spans="1:23" ht="51.5" customHeight="1" x14ac:dyDescent="0.35">
      <c r="A392" s="9" t="s">
        <v>1716</v>
      </c>
      <c r="B392" s="9" t="s">
        <v>707</v>
      </c>
      <c r="C392" s="9" t="s">
        <v>726</v>
      </c>
      <c r="D392" s="9" t="str">
        <f>B392&amp;" - "&amp;C392</f>
        <v>Output - Waste</v>
      </c>
      <c r="F392" s="9" t="s">
        <v>8</v>
      </c>
      <c r="G392" s="9" t="s">
        <v>1197</v>
      </c>
      <c r="H392" s="9" t="str">
        <f>IF(E392="x","Economic - "&amp;G392,"Environmental - "&amp;G392)</f>
        <v>Environmental - Resource Use &amp; Circular Economy</v>
      </c>
      <c r="I392" s="12" t="s">
        <v>778</v>
      </c>
      <c r="J392" s="9" t="s">
        <v>779</v>
      </c>
      <c r="K392" s="9" t="s">
        <v>10</v>
      </c>
      <c r="L392" s="9" t="s">
        <v>11</v>
      </c>
      <c r="M392" s="9" t="s">
        <v>468</v>
      </c>
      <c r="N392" s="9">
        <f>LEN(O392) - LEN(SUBSTITUTE(O392, ";", ""))+1</f>
        <v>3</v>
      </c>
      <c r="O392" s="9" t="s">
        <v>780</v>
      </c>
      <c r="P392" s="9" t="s">
        <v>39</v>
      </c>
      <c r="Q392" s="9" t="s">
        <v>2108</v>
      </c>
      <c r="R392" s="9" t="s">
        <v>17</v>
      </c>
      <c r="S392" s="9" t="s">
        <v>1829</v>
      </c>
      <c r="W392" s="23"/>
    </row>
    <row r="393" spans="1:23" ht="51.5" customHeight="1" x14ac:dyDescent="0.35">
      <c r="A393" s="9" t="s">
        <v>1717</v>
      </c>
      <c r="B393" s="9" t="s">
        <v>707</v>
      </c>
      <c r="C393" s="9" t="s">
        <v>726</v>
      </c>
      <c r="D393" s="9" t="str">
        <f>B393&amp;" - "&amp;C393</f>
        <v>Output - Waste</v>
      </c>
      <c r="F393" s="9" t="s">
        <v>8</v>
      </c>
      <c r="G393" s="9" t="s">
        <v>1197</v>
      </c>
      <c r="H393" s="9" t="str">
        <f>IF(E393="x","Economic - "&amp;G393,"Environmental - "&amp;G393)</f>
        <v>Environmental - Resource Use &amp; Circular Economy</v>
      </c>
      <c r="I393" s="12" t="s">
        <v>781</v>
      </c>
      <c r="J393" s="9" t="s">
        <v>782</v>
      </c>
      <c r="K393" s="9" t="s">
        <v>10</v>
      </c>
      <c r="L393" s="9" t="s">
        <v>295</v>
      </c>
      <c r="M393" s="9" t="s">
        <v>468</v>
      </c>
      <c r="N393" s="9">
        <f>LEN(O393) - LEN(SUBSTITUTE(O393, ";", ""))+1</f>
        <v>2</v>
      </c>
      <c r="O393" s="9" t="s">
        <v>252</v>
      </c>
      <c r="P393" s="9" t="s">
        <v>39</v>
      </c>
      <c r="Q393" s="9" t="s">
        <v>2108</v>
      </c>
      <c r="R393" s="9" t="s">
        <v>17</v>
      </c>
      <c r="S393" s="9" t="s">
        <v>1830</v>
      </c>
      <c r="W393" s="23"/>
    </row>
    <row r="394" spans="1:23" ht="51.5" customHeight="1" x14ac:dyDescent="0.35">
      <c r="A394" s="9" t="s">
        <v>1718</v>
      </c>
      <c r="B394" s="9" t="s">
        <v>707</v>
      </c>
      <c r="C394" s="9" t="s">
        <v>726</v>
      </c>
      <c r="D394" s="9" t="str">
        <f>B394&amp;" - "&amp;C394</f>
        <v>Output - Waste</v>
      </c>
      <c r="F394" s="9" t="s">
        <v>8</v>
      </c>
      <c r="G394" s="9" t="s">
        <v>1197</v>
      </c>
      <c r="H394" s="9" t="str">
        <f>IF(E394="x","Economic - "&amp;G394,"Environmental - "&amp;G394)</f>
        <v>Environmental - Resource Use &amp; Circular Economy</v>
      </c>
      <c r="I394" s="12" t="s">
        <v>783</v>
      </c>
      <c r="J394" s="9" t="s">
        <v>784</v>
      </c>
      <c r="K394" s="9" t="s">
        <v>10</v>
      </c>
      <c r="L394" s="9" t="s">
        <v>314</v>
      </c>
      <c r="M394" s="9" t="s">
        <v>468</v>
      </c>
      <c r="N394" s="9">
        <f>LEN(O394) - LEN(SUBSTITUTE(O394, ";", ""))+1</f>
        <v>1</v>
      </c>
      <c r="O394" s="9" t="s">
        <v>38</v>
      </c>
      <c r="P394" s="9" t="s">
        <v>39</v>
      </c>
      <c r="Q394" s="9" t="s">
        <v>40</v>
      </c>
      <c r="R394" s="9" t="s">
        <v>17</v>
      </c>
      <c r="S394" s="9" t="s">
        <v>1825</v>
      </c>
      <c r="W394" s="23"/>
    </row>
    <row r="395" spans="1:23" ht="51.5" customHeight="1" x14ac:dyDescent="0.35">
      <c r="A395" s="9" t="s">
        <v>2078</v>
      </c>
      <c r="B395" s="9" t="s">
        <v>707</v>
      </c>
      <c r="C395" s="9" t="s">
        <v>726</v>
      </c>
      <c r="D395" s="9" t="str">
        <f>B395&amp;" - "&amp;C395</f>
        <v>Output - Waste</v>
      </c>
      <c r="F395" s="9" t="s">
        <v>8</v>
      </c>
      <c r="G395" s="9" t="s">
        <v>1197</v>
      </c>
      <c r="H395" s="9" t="str">
        <f>IF(E395="x","Economic - "&amp;G395,"Environmental - "&amp;G395)</f>
        <v>Environmental - Resource Use &amp; Circular Economy</v>
      </c>
      <c r="I395" s="12" t="s">
        <v>785</v>
      </c>
      <c r="J395" s="9" t="s">
        <v>786</v>
      </c>
      <c r="K395" s="9" t="s">
        <v>10</v>
      </c>
      <c r="L395" s="9" t="s">
        <v>11</v>
      </c>
      <c r="M395" s="9" t="s">
        <v>468</v>
      </c>
      <c r="N395" s="9">
        <f>LEN(O395) - LEN(SUBSTITUTE(O395, ";", ""))+1</f>
        <v>2</v>
      </c>
      <c r="O395" s="9" t="s">
        <v>787</v>
      </c>
      <c r="P395" s="9" t="s">
        <v>65</v>
      </c>
      <c r="Q395" s="9" t="s">
        <v>297</v>
      </c>
      <c r="R395" s="9" t="s">
        <v>17</v>
      </c>
      <c r="S395" s="9" t="s">
        <v>1828</v>
      </c>
      <c r="W395" s="23"/>
    </row>
    <row r="396" spans="1:23" ht="51.5" customHeight="1" x14ac:dyDescent="0.35">
      <c r="A396" s="9" t="s">
        <v>1719</v>
      </c>
      <c r="B396" s="9" t="s">
        <v>707</v>
      </c>
      <c r="C396" s="9" t="s">
        <v>726</v>
      </c>
      <c r="D396" s="9" t="str">
        <f>B396&amp;" - "&amp;C396</f>
        <v>Output - Waste</v>
      </c>
      <c r="F396" s="9" t="s">
        <v>8</v>
      </c>
      <c r="G396" s="9" t="s">
        <v>1197</v>
      </c>
      <c r="H396" s="9" t="str">
        <f>IF(E396="x","Economic - "&amp;G396,"Environmental - "&amp;G396)</f>
        <v>Environmental - Resource Use &amp; Circular Economy</v>
      </c>
      <c r="I396" s="12" t="s">
        <v>788</v>
      </c>
      <c r="J396" s="9" t="s">
        <v>789</v>
      </c>
      <c r="K396" s="9" t="s">
        <v>10</v>
      </c>
      <c r="L396" s="9" t="s">
        <v>11</v>
      </c>
      <c r="M396" s="9" t="s">
        <v>468</v>
      </c>
      <c r="N396" s="9">
        <f>LEN(O396) - LEN(SUBSTITUTE(O396, ";", ""))+1</f>
        <v>1</v>
      </c>
      <c r="O396" s="9" t="s">
        <v>255</v>
      </c>
      <c r="P396" s="9" t="s">
        <v>39</v>
      </c>
      <c r="Q396" s="9" t="s">
        <v>2112</v>
      </c>
      <c r="R396" s="9" t="s">
        <v>17</v>
      </c>
      <c r="S396" s="9" t="s">
        <v>1830</v>
      </c>
      <c r="W396" s="23"/>
    </row>
    <row r="397" spans="1:23" ht="51.5" customHeight="1" x14ac:dyDescent="0.35">
      <c r="A397" s="9" t="s">
        <v>1720</v>
      </c>
      <c r="B397" s="9" t="s">
        <v>707</v>
      </c>
      <c r="C397" s="9" t="s">
        <v>726</v>
      </c>
      <c r="D397" s="9" t="str">
        <f>B397&amp;" - "&amp;C397</f>
        <v>Output - Waste</v>
      </c>
      <c r="F397" s="9" t="s">
        <v>8</v>
      </c>
      <c r="G397" s="9" t="s">
        <v>1197</v>
      </c>
      <c r="H397" s="9" t="str">
        <f>IF(E397="x","Economic - "&amp;G397,"Environmental - "&amp;G397)</f>
        <v>Environmental - Resource Use &amp; Circular Economy</v>
      </c>
      <c r="I397" s="12" t="s">
        <v>790</v>
      </c>
      <c r="J397" s="9" t="s">
        <v>791</v>
      </c>
      <c r="K397" s="9" t="s">
        <v>10</v>
      </c>
      <c r="L397" s="9" t="s">
        <v>295</v>
      </c>
      <c r="M397" s="9" t="s">
        <v>468</v>
      </c>
      <c r="N397" s="9">
        <f>LEN(O397) - LEN(SUBSTITUTE(O397, ";", ""))+1</f>
        <v>1</v>
      </c>
      <c r="O397" s="9" t="s">
        <v>255</v>
      </c>
      <c r="P397" s="9" t="s">
        <v>39</v>
      </c>
      <c r="Q397" s="9" t="s">
        <v>2112</v>
      </c>
      <c r="R397" s="9" t="s">
        <v>17</v>
      </c>
      <c r="S397" s="9" t="s">
        <v>1830</v>
      </c>
      <c r="W397" s="23"/>
    </row>
    <row r="398" spans="1:23" ht="51.5" customHeight="1" x14ac:dyDescent="0.35">
      <c r="A398" s="9" t="s">
        <v>1721</v>
      </c>
      <c r="B398" s="9" t="s">
        <v>707</v>
      </c>
      <c r="C398" s="9" t="s">
        <v>726</v>
      </c>
      <c r="D398" s="9" t="str">
        <f>B398&amp;" - "&amp;C398</f>
        <v>Output - Waste</v>
      </c>
      <c r="F398" s="9" t="s">
        <v>8</v>
      </c>
      <c r="G398" s="9" t="s">
        <v>1197</v>
      </c>
      <c r="H398" s="9" t="str">
        <f>IF(E398="x","Economic - "&amp;G398,"Environmental - "&amp;G398)</f>
        <v>Environmental - Resource Use &amp; Circular Economy</v>
      </c>
      <c r="I398" s="12" t="s">
        <v>792</v>
      </c>
      <c r="J398" s="9" t="s">
        <v>1915</v>
      </c>
      <c r="K398" s="9" t="s">
        <v>10</v>
      </c>
      <c r="L398" s="9" t="s">
        <v>11</v>
      </c>
      <c r="M398" s="9" t="s">
        <v>2150</v>
      </c>
      <c r="N398" s="9">
        <f>LEN(O398) - LEN(SUBSTITUTE(O398, ";", ""))+1</f>
        <v>5</v>
      </c>
      <c r="O398" s="9" t="s">
        <v>793</v>
      </c>
      <c r="P398" s="9" t="s">
        <v>74</v>
      </c>
      <c r="Q398" s="9" t="s">
        <v>2135</v>
      </c>
      <c r="R398" s="9" t="s">
        <v>1334</v>
      </c>
      <c r="S398" s="9" t="s">
        <v>1823</v>
      </c>
      <c r="W398" s="23"/>
    </row>
    <row r="399" spans="1:23" ht="51.5" customHeight="1" x14ac:dyDescent="0.35">
      <c r="A399" s="9" t="s">
        <v>1722</v>
      </c>
      <c r="B399" s="9" t="s">
        <v>707</v>
      </c>
      <c r="C399" s="9" t="s">
        <v>726</v>
      </c>
      <c r="D399" s="9" t="str">
        <f>B399&amp;" - "&amp;C399</f>
        <v>Output - Waste</v>
      </c>
      <c r="F399" s="9" t="s">
        <v>8</v>
      </c>
      <c r="G399" s="9" t="s">
        <v>1197</v>
      </c>
      <c r="H399" s="9" t="str">
        <f>IF(E399="x","Economic - "&amp;G399,"Environmental - "&amp;G399)</f>
        <v>Environmental - Resource Use &amp; Circular Economy</v>
      </c>
      <c r="I399" s="12" t="s">
        <v>794</v>
      </c>
      <c r="J399" s="9" t="s">
        <v>795</v>
      </c>
      <c r="K399" s="9" t="s">
        <v>10</v>
      </c>
      <c r="L399" s="9" t="s">
        <v>11</v>
      </c>
      <c r="M399" s="9" t="s">
        <v>468</v>
      </c>
      <c r="N399" s="9">
        <f>LEN(O399) - LEN(SUBSTITUTE(O399, ";", ""))+1</f>
        <v>1</v>
      </c>
      <c r="O399" s="9" t="s">
        <v>38</v>
      </c>
      <c r="P399" s="9" t="s">
        <v>39</v>
      </c>
      <c r="Q399" s="9" t="s">
        <v>40</v>
      </c>
      <c r="R399" s="9" t="s">
        <v>17</v>
      </c>
      <c r="S399" s="9" t="s">
        <v>1825</v>
      </c>
      <c r="W399" s="23"/>
    </row>
    <row r="400" spans="1:23" ht="51.5" customHeight="1" x14ac:dyDescent="0.35">
      <c r="A400" s="9" t="s">
        <v>1723</v>
      </c>
      <c r="B400" s="9" t="s">
        <v>707</v>
      </c>
      <c r="C400" s="9" t="s">
        <v>726</v>
      </c>
      <c r="D400" s="9" t="str">
        <f>B400&amp;" - "&amp;C400</f>
        <v>Output - Waste</v>
      </c>
      <c r="F400" s="9" t="s">
        <v>8</v>
      </c>
      <c r="G400" s="9" t="s">
        <v>1197</v>
      </c>
      <c r="H400" s="9" t="str">
        <f>IF(E400="x","Economic - "&amp;G400,"Environmental - "&amp;G400)</f>
        <v>Environmental - Resource Use &amp; Circular Economy</v>
      </c>
      <c r="I400" s="12" t="s">
        <v>796</v>
      </c>
      <c r="J400" s="9" t="s">
        <v>1110</v>
      </c>
      <c r="K400" s="9" t="s">
        <v>10</v>
      </c>
      <c r="L400" s="9" t="s">
        <v>11</v>
      </c>
      <c r="M400" s="9" t="s">
        <v>468</v>
      </c>
      <c r="N400" s="9">
        <f>LEN(O400) - LEN(SUBSTITUTE(O400, ";", ""))+1</f>
        <v>5</v>
      </c>
      <c r="O400" s="9" t="s">
        <v>1070</v>
      </c>
      <c r="P400" s="9" t="s">
        <v>165</v>
      </c>
      <c r="Q400" s="9" t="s">
        <v>1349</v>
      </c>
      <c r="R400" s="9" t="s">
        <v>1286</v>
      </c>
      <c r="S400" s="9" t="s">
        <v>1827</v>
      </c>
      <c r="W400" s="23"/>
    </row>
    <row r="401" spans="1:23" ht="51.5" customHeight="1" x14ac:dyDescent="0.35">
      <c r="A401" s="9" t="s">
        <v>1724</v>
      </c>
      <c r="B401" s="9" t="s">
        <v>707</v>
      </c>
      <c r="C401" s="9" t="s">
        <v>726</v>
      </c>
      <c r="D401" s="9" t="str">
        <f>B401&amp;" - "&amp;C401</f>
        <v>Output - Waste</v>
      </c>
      <c r="F401" s="9" t="s">
        <v>8</v>
      </c>
      <c r="G401" s="9" t="s">
        <v>1197</v>
      </c>
      <c r="H401" s="9" t="str">
        <f>IF(E401="x","Economic - "&amp;G401,"Environmental - "&amp;G401)</f>
        <v>Environmental - Resource Use &amp; Circular Economy</v>
      </c>
      <c r="I401" s="12" t="s">
        <v>797</v>
      </c>
      <c r="J401" s="9" t="s">
        <v>798</v>
      </c>
      <c r="K401" s="9" t="s">
        <v>10</v>
      </c>
      <c r="L401" s="9" t="s">
        <v>11</v>
      </c>
      <c r="M401" s="9" t="s">
        <v>468</v>
      </c>
      <c r="N401" s="9">
        <f>LEN(O401) - LEN(SUBSTITUTE(O401, ";", ""))+1</f>
        <v>1</v>
      </c>
      <c r="O401" s="9" t="s">
        <v>38</v>
      </c>
      <c r="P401" s="9" t="s">
        <v>39</v>
      </c>
      <c r="Q401" s="9" t="s">
        <v>40</v>
      </c>
      <c r="R401" s="9" t="s">
        <v>17</v>
      </c>
      <c r="S401" s="9" t="s">
        <v>1825</v>
      </c>
      <c r="W401" s="23"/>
    </row>
    <row r="402" spans="1:23" ht="51.5" customHeight="1" x14ac:dyDescent="0.35">
      <c r="A402" s="9" t="s">
        <v>1725</v>
      </c>
      <c r="B402" s="9" t="s">
        <v>707</v>
      </c>
      <c r="C402" s="9" t="s">
        <v>726</v>
      </c>
      <c r="D402" s="9" t="str">
        <f>B402&amp;" - "&amp;C402</f>
        <v>Output - Waste</v>
      </c>
      <c r="F402" s="9" t="s">
        <v>8</v>
      </c>
      <c r="G402" s="9" t="s">
        <v>1197</v>
      </c>
      <c r="H402" s="9" t="str">
        <f>IF(E402="x","Economic - "&amp;G402,"Environmental - "&amp;G402)</f>
        <v>Environmental - Resource Use &amp; Circular Economy</v>
      </c>
      <c r="I402" s="12" t="s">
        <v>799</v>
      </c>
      <c r="J402" s="9" t="s">
        <v>1916</v>
      </c>
      <c r="K402" s="9" t="s">
        <v>10</v>
      </c>
      <c r="L402" s="9" t="s">
        <v>11</v>
      </c>
      <c r="M402" s="9" t="s">
        <v>468</v>
      </c>
      <c r="N402" s="9">
        <f>LEN(O402) - LEN(SUBSTITUTE(O402, ";", ""))+1</f>
        <v>11</v>
      </c>
      <c r="O402" s="9" t="s">
        <v>1996</v>
      </c>
      <c r="P402" s="9" t="s">
        <v>165</v>
      </c>
      <c r="Q402" s="9" t="s">
        <v>2136</v>
      </c>
      <c r="R402" s="9" t="s">
        <v>1286</v>
      </c>
      <c r="S402" s="9" t="s">
        <v>1823</v>
      </c>
      <c r="W402" s="23"/>
    </row>
    <row r="403" spans="1:23" ht="51.5" customHeight="1" x14ac:dyDescent="0.35">
      <c r="A403" s="9" t="s">
        <v>1726</v>
      </c>
      <c r="B403" s="9" t="s">
        <v>707</v>
      </c>
      <c r="C403" s="9" t="s">
        <v>726</v>
      </c>
      <c r="D403" s="9" t="str">
        <f>B403&amp;" - "&amp;C403</f>
        <v>Output - Waste</v>
      </c>
      <c r="F403" s="9" t="s">
        <v>8</v>
      </c>
      <c r="G403" s="9" t="s">
        <v>1197</v>
      </c>
      <c r="H403" s="9" t="str">
        <f>IF(E403="x","Economic - "&amp;G403,"Environmental - "&amp;G403)</f>
        <v>Environmental - Resource Use &amp; Circular Economy</v>
      </c>
      <c r="I403" s="12" t="s">
        <v>800</v>
      </c>
      <c r="J403" s="9" t="s">
        <v>801</v>
      </c>
      <c r="K403" s="9" t="s">
        <v>10</v>
      </c>
      <c r="L403" s="9" t="s">
        <v>16</v>
      </c>
      <c r="M403" s="9" t="s">
        <v>468</v>
      </c>
      <c r="N403" s="9">
        <f>LEN(O403) - LEN(SUBSTITUTE(O403, ";", ""))+1</f>
        <v>1</v>
      </c>
      <c r="O403" s="9" t="s">
        <v>38</v>
      </c>
      <c r="P403" s="9" t="s">
        <v>39</v>
      </c>
      <c r="Q403" s="9" t="s">
        <v>40</v>
      </c>
      <c r="R403" s="9" t="s">
        <v>17</v>
      </c>
      <c r="S403" s="9" t="s">
        <v>1825</v>
      </c>
      <c r="W403" s="23"/>
    </row>
    <row r="404" spans="1:23" ht="51.5" customHeight="1" x14ac:dyDescent="0.35">
      <c r="A404" s="9" t="s">
        <v>1727</v>
      </c>
      <c r="B404" s="9" t="s">
        <v>707</v>
      </c>
      <c r="C404" s="9" t="s">
        <v>726</v>
      </c>
      <c r="D404" s="9" t="str">
        <f>B404&amp;" - "&amp;C404</f>
        <v>Output - Waste</v>
      </c>
      <c r="E404" s="9" t="s">
        <v>8</v>
      </c>
      <c r="G404" s="9" t="s">
        <v>1086</v>
      </c>
      <c r="H404" s="9" t="str">
        <f>IF(E404="x","Economic - "&amp;G404,"Environmental - "&amp;G404)</f>
        <v>Economic - Cost</v>
      </c>
      <c r="I404" s="12" t="s">
        <v>1929</v>
      </c>
      <c r="J404" s="9" t="s">
        <v>1930</v>
      </c>
      <c r="K404" s="9" t="s">
        <v>1931</v>
      </c>
      <c r="L404" s="9" t="s">
        <v>1263</v>
      </c>
      <c r="M404" s="9" t="s">
        <v>468</v>
      </c>
      <c r="N404" s="9">
        <f>LEN(O404) - LEN(SUBSTITUTE(O404, ";", ""))+1</f>
        <v>1</v>
      </c>
      <c r="O404" s="9" t="s">
        <v>895</v>
      </c>
      <c r="P404" s="9" t="s">
        <v>84</v>
      </c>
      <c r="Q404" s="9" t="s">
        <v>117</v>
      </c>
      <c r="R404" s="9" t="s">
        <v>118</v>
      </c>
      <c r="S404" s="9" t="s">
        <v>17</v>
      </c>
      <c r="W404" s="23"/>
    </row>
    <row r="405" spans="1:23" ht="51.5" customHeight="1" x14ac:dyDescent="0.35">
      <c r="A405" s="9" t="s">
        <v>1728</v>
      </c>
      <c r="B405" s="9" t="s">
        <v>707</v>
      </c>
      <c r="C405" s="9" t="s">
        <v>726</v>
      </c>
      <c r="D405" s="9" t="str">
        <f>B405&amp;" - "&amp;C405</f>
        <v>Output - Waste</v>
      </c>
      <c r="F405" s="9" t="s">
        <v>8</v>
      </c>
      <c r="G405" s="9" t="s">
        <v>1197</v>
      </c>
      <c r="H405" s="9" t="str">
        <f>IF(E405="x","Economic - "&amp;G405,"Environmental - "&amp;G405)</f>
        <v>Environmental - Resource Use &amp; Circular Economy</v>
      </c>
      <c r="I405" s="12" t="s">
        <v>802</v>
      </c>
      <c r="J405" s="9" t="s">
        <v>803</v>
      </c>
      <c r="K405" s="9" t="s">
        <v>10</v>
      </c>
      <c r="L405" s="9" t="s">
        <v>16</v>
      </c>
      <c r="M405" s="9" t="s">
        <v>468</v>
      </c>
      <c r="N405" s="9">
        <f>LEN(O405) - LEN(SUBSTITUTE(O405, ";", ""))+1</f>
        <v>1</v>
      </c>
      <c r="O405" s="9" t="s">
        <v>38</v>
      </c>
      <c r="P405" s="9" t="s">
        <v>39</v>
      </c>
      <c r="Q405" s="9" t="s">
        <v>40</v>
      </c>
      <c r="R405" s="9" t="s">
        <v>17</v>
      </c>
      <c r="S405" s="9" t="s">
        <v>1825</v>
      </c>
      <c r="W405" s="23"/>
    </row>
    <row r="406" spans="1:23" ht="51.5" customHeight="1" x14ac:dyDescent="0.35">
      <c r="A406" s="9" t="s">
        <v>1729</v>
      </c>
      <c r="B406" s="9" t="s">
        <v>707</v>
      </c>
      <c r="C406" s="9" t="s">
        <v>726</v>
      </c>
      <c r="D406" s="9" t="str">
        <f>B406&amp;" - "&amp;C406</f>
        <v>Output - Waste</v>
      </c>
      <c r="F406" s="9" t="s">
        <v>8</v>
      </c>
      <c r="G406" s="9" t="s">
        <v>1197</v>
      </c>
      <c r="H406" s="9" t="str">
        <f>IF(E406="x","Economic - "&amp;G406,"Environmental - "&amp;G406)</f>
        <v>Environmental - Resource Use &amp; Circular Economy</v>
      </c>
      <c r="I406" s="12" t="s">
        <v>1250</v>
      </c>
      <c r="J406" s="9" t="s">
        <v>804</v>
      </c>
      <c r="K406" s="9" t="s">
        <v>10</v>
      </c>
      <c r="L406" s="9" t="s">
        <v>11</v>
      </c>
      <c r="M406" s="9" t="s">
        <v>468</v>
      </c>
      <c r="N406" s="9">
        <f>LEN(O406) - LEN(SUBSTITUTE(O406, ";", ""))+1</f>
        <v>3</v>
      </c>
      <c r="O406" s="9" t="s">
        <v>1071</v>
      </c>
      <c r="P406" s="9" t="s">
        <v>65</v>
      </c>
      <c r="Q406" s="9" t="s">
        <v>805</v>
      </c>
      <c r="R406" s="9" t="s">
        <v>1286</v>
      </c>
      <c r="S406" s="9" t="s">
        <v>1827</v>
      </c>
      <c r="W406" s="23"/>
    </row>
    <row r="407" spans="1:23" ht="51.5" customHeight="1" x14ac:dyDescent="0.35">
      <c r="A407" s="9" t="s">
        <v>1730</v>
      </c>
      <c r="B407" s="9" t="s">
        <v>707</v>
      </c>
      <c r="C407" s="9" t="s">
        <v>726</v>
      </c>
      <c r="D407" s="9" t="str">
        <f>B407&amp;" - "&amp;C407</f>
        <v>Output - Waste</v>
      </c>
      <c r="F407" s="9" t="s">
        <v>8</v>
      </c>
      <c r="G407" s="9" t="s">
        <v>1197</v>
      </c>
      <c r="H407" s="9" t="str">
        <f>IF(E407="x","Economic - "&amp;G407,"Environmental - "&amp;G407)</f>
        <v>Environmental - Resource Use &amp; Circular Economy</v>
      </c>
      <c r="I407" s="12" t="s">
        <v>806</v>
      </c>
      <c r="J407" s="9" t="s">
        <v>807</v>
      </c>
      <c r="K407" s="9" t="s">
        <v>10</v>
      </c>
      <c r="L407" s="9" t="s">
        <v>16</v>
      </c>
      <c r="M407" s="9" t="s">
        <v>468</v>
      </c>
      <c r="N407" s="9">
        <f>LEN(O407) - LEN(SUBSTITUTE(O407, ";", ""))+1</f>
        <v>1</v>
      </c>
      <c r="O407" s="9" t="s">
        <v>38</v>
      </c>
      <c r="P407" s="9" t="s">
        <v>39</v>
      </c>
      <c r="Q407" s="9" t="s">
        <v>40</v>
      </c>
      <c r="R407" s="9" t="s">
        <v>17</v>
      </c>
      <c r="S407" s="9" t="s">
        <v>1825</v>
      </c>
      <c r="W407" s="23"/>
    </row>
    <row r="408" spans="1:23" ht="51.5" customHeight="1" x14ac:dyDescent="0.35">
      <c r="A408" s="9" t="s">
        <v>1731</v>
      </c>
      <c r="B408" s="9" t="s">
        <v>707</v>
      </c>
      <c r="C408" s="9" t="s">
        <v>726</v>
      </c>
      <c r="D408" s="9" t="str">
        <f>B408&amp;" - "&amp;C408</f>
        <v>Output - Waste</v>
      </c>
      <c r="F408" s="9" t="s">
        <v>8</v>
      </c>
      <c r="G408" s="9" t="s">
        <v>1197</v>
      </c>
      <c r="H408" s="9" t="str">
        <f>IF(E408="x","Economic - "&amp;G408,"Environmental - "&amp;G408)</f>
        <v>Environmental - Resource Use &amp; Circular Economy</v>
      </c>
      <c r="I408" s="12" t="s">
        <v>808</v>
      </c>
      <c r="J408" s="9" t="s">
        <v>809</v>
      </c>
      <c r="K408" s="9" t="s">
        <v>10</v>
      </c>
      <c r="L408" s="9" t="s">
        <v>11</v>
      </c>
      <c r="M408" s="9" t="s">
        <v>468</v>
      </c>
      <c r="N408" s="9">
        <f>LEN(O408) - LEN(SUBSTITUTE(O408, ";", ""))+1</f>
        <v>2</v>
      </c>
      <c r="O408" s="9" t="s">
        <v>73</v>
      </c>
      <c r="P408" s="9" t="s">
        <v>74</v>
      </c>
      <c r="Q408" s="9" t="s">
        <v>1293</v>
      </c>
      <c r="R408" s="9" t="s">
        <v>17</v>
      </c>
      <c r="S408" s="9" t="s">
        <v>1827</v>
      </c>
      <c r="W408" s="23"/>
    </row>
    <row r="409" spans="1:23" ht="51.5" customHeight="1" x14ac:dyDescent="0.35">
      <c r="A409" s="9" t="s">
        <v>1732</v>
      </c>
      <c r="B409" s="9" t="s">
        <v>707</v>
      </c>
      <c r="C409" s="9" t="s">
        <v>726</v>
      </c>
      <c r="D409" s="9" t="str">
        <f>B409&amp;" - "&amp;C409</f>
        <v>Output - Waste</v>
      </c>
      <c r="F409" s="9" t="s">
        <v>8</v>
      </c>
      <c r="G409" s="9" t="s">
        <v>1197</v>
      </c>
      <c r="H409" s="9" t="str">
        <f>IF(E409="x","Economic - "&amp;G409,"Environmental - "&amp;G409)</f>
        <v>Environmental - Resource Use &amp; Circular Economy</v>
      </c>
      <c r="I409" s="12" t="s">
        <v>810</v>
      </c>
      <c r="J409" s="9" t="s">
        <v>811</v>
      </c>
      <c r="K409" s="9" t="s">
        <v>10</v>
      </c>
      <c r="L409" s="9" t="s">
        <v>11</v>
      </c>
      <c r="M409" s="9" t="s">
        <v>468</v>
      </c>
      <c r="N409" s="9">
        <f>LEN(O409) - LEN(SUBSTITUTE(O409, ";", ""))+1</f>
        <v>2</v>
      </c>
      <c r="O409" s="9" t="s">
        <v>671</v>
      </c>
      <c r="P409" s="9" t="s">
        <v>39</v>
      </c>
      <c r="Q409" s="9" t="s">
        <v>1294</v>
      </c>
      <c r="R409" s="9" t="s">
        <v>1284</v>
      </c>
      <c r="S409" s="9" t="s">
        <v>17</v>
      </c>
      <c r="W409" s="23"/>
    </row>
    <row r="410" spans="1:23" ht="51.5" customHeight="1" x14ac:dyDescent="0.35">
      <c r="A410" s="9" t="s">
        <v>1733</v>
      </c>
      <c r="B410" s="9" t="s">
        <v>707</v>
      </c>
      <c r="C410" s="9" t="s">
        <v>726</v>
      </c>
      <c r="D410" s="9" t="str">
        <f>B410&amp;" - "&amp;C410</f>
        <v>Output - Waste</v>
      </c>
      <c r="F410" s="9" t="s">
        <v>8</v>
      </c>
      <c r="G410" s="9" t="s">
        <v>1197</v>
      </c>
      <c r="H410" s="9" t="str">
        <f>IF(E410="x","Economic - "&amp;G410,"Environmental - "&amp;G410)</f>
        <v>Environmental - Resource Use &amp; Circular Economy</v>
      </c>
      <c r="I410" s="12" t="s">
        <v>812</v>
      </c>
      <c r="J410" s="9" t="s">
        <v>813</v>
      </c>
      <c r="K410" s="9" t="s">
        <v>10</v>
      </c>
      <c r="L410" s="9" t="s">
        <v>11</v>
      </c>
      <c r="M410" s="9" t="s">
        <v>468</v>
      </c>
      <c r="N410" s="9">
        <f>LEN(O410) - LEN(SUBSTITUTE(O410, ";", ""))+1</f>
        <v>2</v>
      </c>
      <c r="O410" s="9" t="s">
        <v>671</v>
      </c>
      <c r="P410" s="9" t="s">
        <v>39</v>
      </c>
      <c r="Q410" s="9" t="s">
        <v>1294</v>
      </c>
      <c r="R410" s="9" t="s">
        <v>1284</v>
      </c>
      <c r="S410" s="9" t="s">
        <v>17</v>
      </c>
      <c r="W410" s="23"/>
    </row>
    <row r="411" spans="1:23" ht="51.5" customHeight="1" x14ac:dyDescent="0.35">
      <c r="A411" s="9" t="s">
        <v>2079</v>
      </c>
      <c r="B411" s="9" t="s">
        <v>707</v>
      </c>
      <c r="C411" s="9" t="s">
        <v>726</v>
      </c>
      <c r="D411" s="9" t="str">
        <f>B411&amp;" - "&amp;C411</f>
        <v>Output - Waste</v>
      </c>
      <c r="F411" s="9" t="s">
        <v>8</v>
      </c>
      <c r="G411" s="9" t="s">
        <v>1197</v>
      </c>
      <c r="H411" s="9" t="str">
        <f>IF(E411="x","Economic - "&amp;G411,"Environmental - "&amp;G411)</f>
        <v>Environmental - Resource Use &amp; Circular Economy</v>
      </c>
      <c r="I411" s="12" t="s">
        <v>814</v>
      </c>
      <c r="J411" s="9" t="s">
        <v>815</v>
      </c>
      <c r="K411" s="9" t="s">
        <v>10</v>
      </c>
      <c r="L411" s="9" t="s">
        <v>11</v>
      </c>
      <c r="M411" s="9" t="s">
        <v>468</v>
      </c>
      <c r="N411" s="9">
        <f>LEN(O411) - LEN(SUBSTITUTE(O411, ";", ""))+1</f>
        <v>2</v>
      </c>
      <c r="O411" s="9" t="s">
        <v>1913</v>
      </c>
      <c r="P411" s="9" t="s">
        <v>39</v>
      </c>
      <c r="Q411" s="9" t="s">
        <v>98</v>
      </c>
      <c r="R411" s="9" t="s">
        <v>17</v>
      </c>
      <c r="S411" s="9" t="s">
        <v>1828</v>
      </c>
      <c r="W411" s="23"/>
    </row>
    <row r="412" spans="1:23" ht="51.5" customHeight="1" x14ac:dyDescent="0.35">
      <c r="A412" s="9" t="s">
        <v>1734</v>
      </c>
      <c r="B412" s="9" t="s">
        <v>707</v>
      </c>
      <c r="C412" s="9" t="s">
        <v>726</v>
      </c>
      <c r="D412" s="9" t="str">
        <f>B412&amp;" - "&amp;C412</f>
        <v>Output - Waste</v>
      </c>
      <c r="F412" s="9" t="s">
        <v>8</v>
      </c>
      <c r="G412" s="9" t="s">
        <v>1197</v>
      </c>
      <c r="H412" s="9" t="str">
        <f>IF(E412="x","Economic - "&amp;G412,"Environmental - "&amp;G412)</f>
        <v>Environmental - Resource Use &amp; Circular Economy</v>
      </c>
      <c r="I412" s="12" t="s">
        <v>816</v>
      </c>
      <c r="J412" s="9" t="s">
        <v>817</v>
      </c>
      <c r="K412" s="9" t="s">
        <v>10</v>
      </c>
      <c r="L412" s="9" t="s">
        <v>11</v>
      </c>
      <c r="M412" s="9" t="s">
        <v>468</v>
      </c>
      <c r="N412" s="9">
        <f>LEN(O412) - LEN(SUBSTITUTE(O412, ";", ""))+1</f>
        <v>2</v>
      </c>
      <c r="O412" s="9" t="s">
        <v>952</v>
      </c>
      <c r="P412" s="9" t="s">
        <v>78</v>
      </c>
      <c r="Q412" s="9" t="s">
        <v>117</v>
      </c>
      <c r="R412" s="9" t="s">
        <v>118</v>
      </c>
      <c r="S412" s="9" t="s">
        <v>17</v>
      </c>
      <c r="W412" s="23"/>
    </row>
    <row r="413" spans="1:23" ht="51.5" customHeight="1" x14ac:dyDescent="0.35">
      <c r="A413" s="9" t="s">
        <v>1735</v>
      </c>
      <c r="B413" s="9" t="s">
        <v>707</v>
      </c>
      <c r="C413" s="9" t="s">
        <v>726</v>
      </c>
      <c r="D413" s="9" t="str">
        <f>B413&amp;" - "&amp;C413</f>
        <v>Output - Waste</v>
      </c>
      <c r="F413" s="9" t="s">
        <v>8</v>
      </c>
      <c r="G413" s="9" t="s">
        <v>1197</v>
      </c>
      <c r="H413" s="9" t="str">
        <f>IF(E413="x","Economic - "&amp;G413,"Environmental - "&amp;G413)</f>
        <v>Environmental - Resource Use &amp; Circular Economy</v>
      </c>
      <c r="I413" s="12" t="s">
        <v>818</v>
      </c>
      <c r="J413" s="9" t="s">
        <v>819</v>
      </c>
      <c r="K413" s="9" t="s">
        <v>10</v>
      </c>
      <c r="L413" s="9" t="s">
        <v>11</v>
      </c>
      <c r="M413" s="9" t="s">
        <v>468</v>
      </c>
      <c r="N413" s="9">
        <f>LEN(O413) - LEN(SUBSTITUTE(O413, ";", ""))+1</f>
        <v>1</v>
      </c>
      <c r="O413" s="9" t="s">
        <v>115</v>
      </c>
      <c r="P413" s="9" t="s">
        <v>116</v>
      </c>
      <c r="Q413" s="9" t="s">
        <v>117</v>
      </c>
      <c r="R413" s="9" t="s">
        <v>118</v>
      </c>
      <c r="S413" s="9" t="s">
        <v>17</v>
      </c>
      <c r="W413" s="23"/>
    </row>
    <row r="414" spans="1:23" ht="51.5" customHeight="1" x14ac:dyDescent="0.35">
      <c r="A414" s="9" t="s">
        <v>1736</v>
      </c>
      <c r="B414" s="9" t="s">
        <v>707</v>
      </c>
      <c r="C414" s="9" t="s">
        <v>726</v>
      </c>
      <c r="D414" s="9" t="str">
        <f>B414&amp;" - "&amp;C414</f>
        <v>Output - Waste</v>
      </c>
      <c r="F414" s="9" t="s">
        <v>8</v>
      </c>
      <c r="G414" s="9" t="s">
        <v>1197</v>
      </c>
      <c r="H414" s="9" t="str">
        <f>IF(E414="x","Economic - "&amp;G414,"Environmental - "&amp;G414)</f>
        <v>Environmental - Resource Use &amp; Circular Economy</v>
      </c>
      <c r="I414" s="12" t="s">
        <v>2053</v>
      </c>
      <c r="J414" s="9" t="s">
        <v>2052</v>
      </c>
      <c r="K414" s="9" t="s">
        <v>10</v>
      </c>
      <c r="L414" s="9" t="s">
        <v>11</v>
      </c>
      <c r="M414" s="9" t="s">
        <v>468</v>
      </c>
      <c r="N414" s="9">
        <f>LEN(O414) - LEN(SUBSTITUTE(O414, ";", ""))+1</f>
        <v>1</v>
      </c>
      <c r="O414" s="9" t="s">
        <v>115</v>
      </c>
      <c r="P414" s="9" t="s">
        <v>116</v>
      </c>
      <c r="Q414" s="9" t="s">
        <v>117</v>
      </c>
      <c r="R414" s="9" t="s">
        <v>118</v>
      </c>
      <c r="S414" s="9" t="s">
        <v>17</v>
      </c>
      <c r="W414" s="23"/>
    </row>
    <row r="415" spans="1:23" ht="51.5" customHeight="1" x14ac:dyDescent="0.35">
      <c r="A415" s="9" t="s">
        <v>1737</v>
      </c>
      <c r="B415" s="9" t="s">
        <v>707</v>
      </c>
      <c r="C415" s="9" t="s">
        <v>726</v>
      </c>
      <c r="D415" s="9" t="str">
        <f>B415&amp;" - "&amp;C415</f>
        <v>Output - Waste</v>
      </c>
      <c r="F415" s="9" t="s">
        <v>8</v>
      </c>
      <c r="G415" s="9" t="s">
        <v>1198</v>
      </c>
      <c r="H415" s="9" t="str">
        <f>IF(E415="x","Economic - "&amp;G415,"Environmental - "&amp;G415)</f>
        <v>Environmental - Water &amp; Marine Resources</v>
      </c>
      <c r="I415" s="12" t="s">
        <v>820</v>
      </c>
      <c r="J415" s="9" t="s">
        <v>1245</v>
      </c>
      <c r="K415" s="9" t="s">
        <v>10</v>
      </c>
      <c r="L415" s="9" t="s">
        <v>295</v>
      </c>
      <c r="M415" s="9" t="s">
        <v>821</v>
      </c>
      <c r="N415" s="9">
        <f>LEN(O415) - LEN(SUBSTITUTE(O415, ";", ""))+1</f>
        <v>7</v>
      </c>
      <c r="O415" s="9" t="s">
        <v>1241</v>
      </c>
      <c r="P415" s="9" t="s">
        <v>165</v>
      </c>
      <c r="Q415" s="9" t="s">
        <v>1350</v>
      </c>
      <c r="R415" s="9" t="s">
        <v>1351</v>
      </c>
      <c r="S415" s="9" t="s">
        <v>1826</v>
      </c>
      <c r="W415" s="23"/>
    </row>
    <row r="416" spans="1:23" ht="51.5" customHeight="1" x14ac:dyDescent="0.35">
      <c r="A416" s="9" t="s">
        <v>1738</v>
      </c>
      <c r="B416" s="9" t="s">
        <v>707</v>
      </c>
      <c r="C416" s="9" t="s">
        <v>726</v>
      </c>
      <c r="D416" s="9" t="str">
        <f>B416&amp;" - "&amp;C416</f>
        <v>Output - Waste</v>
      </c>
      <c r="F416" s="9" t="s">
        <v>8</v>
      </c>
      <c r="G416" s="9" t="s">
        <v>1198</v>
      </c>
      <c r="H416" s="9" t="str">
        <f>IF(E416="x","Economic - "&amp;G416,"Environmental - "&amp;G416)</f>
        <v>Environmental - Water &amp; Marine Resources</v>
      </c>
      <c r="I416" s="12" t="s">
        <v>822</v>
      </c>
      <c r="J416" s="9" t="s">
        <v>1238</v>
      </c>
      <c r="K416" s="9" t="s">
        <v>10</v>
      </c>
      <c r="L416" s="9" t="s">
        <v>1217</v>
      </c>
      <c r="M416" s="9" t="s">
        <v>468</v>
      </c>
      <c r="N416" s="9">
        <f>LEN(O416) - LEN(SUBSTITUTE(O416, ";", ""))+1</f>
        <v>1</v>
      </c>
      <c r="O416" s="9" t="s">
        <v>473</v>
      </c>
      <c r="P416" s="9" t="s">
        <v>56</v>
      </c>
      <c r="Q416" s="9" t="s">
        <v>17</v>
      </c>
      <c r="R416" s="9" t="s">
        <v>17</v>
      </c>
      <c r="S416" s="9" t="s">
        <v>1821</v>
      </c>
      <c r="W416" s="23"/>
    </row>
    <row r="417" spans="1:23" ht="51.5" customHeight="1" x14ac:dyDescent="0.35">
      <c r="A417" s="9" t="s">
        <v>1739</v>
      </c>
      <c r="B417" s="9" t="s">
        <v>707</v>
      </c>
      <c r="C417" s="9" t="s">
        <v>726</v>
      </c>
      <c r="D417" s="9" t="str">
        <f>B417&amp;" - "&amp;C417</f>
        <v>Output - Waste</v>
      </c>
      <c r="F417" s="9" t="s">
        <v>8</v>
      </c>
      <c r="G417" s="9" t="s">
        <v>1198</v>
      </c>
      <c r="H417" s="9" t="str">
        <f>IF(E417="x","Economic - "&amp;G417,"Environmental - "&amp;G417)</f>
        <v>Environmental - Water &amp; Marine Resources</v>
      </c>
      <c r="I417" s="12" t="s">
        <v>823</v>
      </c>
      <c r="J417" s="9" t="s">
        <v>2176</v>
      </c>
      <c r="K417" s="9" t="s">
        <v>10</v>
      </c>
      <c r="L417" s="9" t="s">
        <v>295</v>
      </c>
      <c r="M417" s="9" t="s">
        <v>468</v>
      </c>
      <c r="N417" s="9">
        <f>LEN(O417) - LEN(SUBSTITUTE(O417, ";", ""))+1</f>
        <v>14</v>
      </c>
      <c r="O417" s="9" t="s">
        <v>2011</v>
      </c>
      <c r="P417" s="9" t="s">
        <v>51</v>
      </c>
      <c r="Q417" s="9" t="s">
        <v>2137</v>
      </c>
      <c r="R417" s="9" t="s">
        <v>1316</v>
      </c>
      <c r="S417" s="9" t="s">
        <v>1826</v>
      </c>
      <c r="W417" s="23"/>
    </row>
    <row r="418" spans="1:23" ht="51.5" customHeight="1" x14ac:dyDescent="0.35">
      <c r="A418" s="9" t="s">
        <v>1740</v>
      </c>
      <c r="B418" s="9" t="s">
        <v>707</v>
      </c>
      <c r="C418" s="9" t="s">
        <v>726</v>
      </c>
      <c r="D418" s="9" t="str">
        <f>B418&amp;" - "&amp;C418</f>
        <v>Output - Waste</v>
      </c>
      <c r="F418" s="9" t="s">
        <v>8</v>
      </c>
      <c r="G418" s="9" t="s">
        <v>1198</v>
      </c>
      <c r="H418" s="9" t="str">
        <f>IF(E418="x","Economic - "&amp;G418,"Environmental - "&amp;G418)</f>
        <v>Environmental - Water &amp; Marine Resources</v>
      </c>
      <c r="I418" s="12" t="s">
        <v>1231</v>
      </c>
      <c r="J418" s="9" t="s">
        <v>1230</v>
      </c>
      <c r="K418" s="9" t="s">
        <v>10</v>
      </c>
      <c r="L418" s="9" t="s">
        <v>1217</v>
      </c>
      <c r="M418" s="9" t="s">
        <v>468</v>
      </c>
      <c r="N418" s="9">
        <f>LEN(O418) - LEN(SUBSTITUTE(O418, ";", ""))+1</f>
        <v>3</v>
      </c>
      <c r="O418" s="9" t="s">
        <v>1912</v>
      </c>
      <c r="P418" s="9" t="s">
        <v>65</v>
      </c>
      <c r="Q418" s="9" t="s">
        <v>1352</v>
      </c>
      <c r="R418" s="9" t="s">
        <v>1302</v>
      </c>
      <c r="S418" s="9" t="s">
        <v>1824</v>
      </c>
      <c r="W418" s="23"/>
    </row>
    <row r="419" spans="1:23" ht="51.5" customHeight="1" x14ac:dyDescent="0.35">
      <c r="A419" s="9" t="s">
        <v>1741</v>
      </c>
      <c r="B419" s="9" t="s">
        <v>707</v>
      </c>
      <c r="C419" s="9" t="s">
        <v>726</v>
      </c>
      <c r="D419" s="9" t="str">
        <f>B419&amp;" - "&amp;C419</f>
        <v>Output - Waste</v>
      </c>
      <c r="F419" s="9" t="s">
        <v>8</v>
      </c>
      <c r="G419" s="9" t="s">
        <v>1198</v>
      </c>
      <c r="H419" s="9" t="str">
        <f>IF(E419="x","Economic - "&amp;G419,"Environmental - "&amp;G419)</f>
        <v>Environmental - Water &amp; Marine Resources</v>
      </c>
      <c r="I419" s="12" t="s">
        <v>824</v>
      </c>
      <c r="J419" s="9" t="s">
        <v>1123</v>
      </c>
      <c r="K419" s="9" t="s">
        <v>10</v>
      </c>
      <c r="L419" s="9" t="s">
        <v>16</v>
      </c>
      <c r="M419" s="9" t="s">
        <v>468</v>
      </c>
      <c r="N419" s="9">
        <f>LEN(O419) - LEN(SUBSTITUTE(O419, ";", ""))+1</f>
        <v>3</v>
      </c>
      <c r="O419" s="9" t="s">
        <v>825</v>
      </c>
      <c r="P419" s="9" t="s">
        <v>74</v>
      </c>
      <c r="Q419" s="9" t="s">
        <v>40</v>
      </c>
      <c r="R419" s="9" t="s">
        <v>1334</v>
      </c>
      <c r="S419" s="9" t="s">
        <v>1823</v>
      </c>
      <c r="W419" s="23"/>
    </row>
    <row r="420" spans="1:23" ht="51.5" customHeight="1" x14ac:dyDescent="0.35">
      <c r="A420" s="9" t="s">
        <v>1742</v>
      </c>
      <c r="B420" s="9" t="s">
        <v>707</v>
      </c>
      <c r="C420" s="9" t="s">
        <v>726</v>
      </c>
      <c r="D420" s="9" t="str">
        <f>B420&amp;" - "&amp;C420</f>
        <v>Output - Waste</v>
      </c>
      <c r="F420" s="9" t="s">
        <v>8</v>
      </c>
      <c r="G420" s="9" t="s">
        <v>1088</v>
      </c>
      <c r="H420" s="9" t="str">
        <f>IF(E420="x","Economic - "&amp;G420,"Environmental - "&amp;G420)</f>
        <v>Environmental - Pollution</v>
      </c>
      <c r="I420" s="12" t="s">
        <v>826</v>
      </c>
      <c r="J420" s="9" t="s">
        <v>1109</v>
      </c>
      <c r="K420" s="9" t="s">
        <v>10</v>
      </c>
      <c r="L420" s="9" t="s">
        <v>1281</v>
      </c>
      <c r="M420" s="9" t="s">
        <v>468</v>
      </c>
      <c r="N420" s="9">
        <f>LEN(O420) - LEN(SUBSTITUTE(O420, ";", ""))+1</f>
        <v>6</v>
      </c>
      <c r="O420" s="9" t="s">
        <v>1927</v>
      </c>
      <c r="P420" s="9" t="s">
        <v>165</v>
      </c>
      <c r="Q420" s="9" t="s">
        <v>1296</v>
      </c>
      <c r="R420" s="9" t="s">
        <v>1292</v>
      </c>
      <c r="S420" s="9" t="s">
        <v>1827</v>
      </c>
      <c r="W420" s="23"/>
    </row>
    <row r="421" spans="1:23" ht="51.5" customHeight="1" x14ac:dyDescent="0.35">
      <c r="A421" s="9" t="s">
        <v>1743</v>
      </c>
      <c r="B421" s="9" t="s">
        <v>707</v>
      </c>
      <c r="C421" s="9" t="s">
        <v>726</v>
      </c>
      <c r="D421" s="9" t="str">
        <f>B421&amp;" - "&amp;C421</f>
        <v>Output - Waste</v>
      </c>
      <c r="F421" s="9" t="s">
        <v>8</v>
      </c>
      <c r="G421" s="9" t="s">
        <v>1088</v>
      </c>
      <c r="H421" s="9" t="str">
        <f>IF(E421="x","Economic - "&amp;G421,"Environmental - "&amp;G421)</f>
        <v>Environmental - Pollution</v>
      </c>
      <c r="I421" s="12" t="s">
        <v>827</v>
      </c>
      <c r="J421" s="9" t="s">
        <v>828</v>
      </c>
      <c r="K421" s="9" t="s">
        <v>10</v>
      </c>
      <c r="L421" s="9" t="s">
        <v>829</v>
      </c>
      <c r="M421" s="9" t="s">
        <v>468</v>
      </c>
      <c r="N421" s="9">
        <f>LEN(O421) - LEN(SUBSTITUTE(O421, ";", ""))+1</f>
        <v>4</v>
      </c>
      <c r="O421" s="9" t="s">
        <v>830</v>
      </c>
      <c r="P421" s="9" t="s">
        <v>39</v>
      </c>
      <c r="Q421" s="9" t="s">
        <v>2112</v>
      </c>
      <c r="R421" s="9" t="s">
        <v>17</v>
      </c>
      <c r="S421" s="9" t="s">
        <v>1823</v>
      </c>
      <c r="W421" s="23"/>
    </row>
    <row r="422" spans="1:23" ht="51.5" customHeight="1" x14ac:dyDescent="0.35">
      <c r="A422" s="9" t="s">
        <v>1744</v>
      </c>
      <c r="B422" s="9" t="s">
        <v>707</v>
      </c>
      <c r="C422" s="9" t="s">
        <v>726</v>
      </c>
      <c r="D422" s="9" t="str">
        <f>B422&amp;" - "&amp;C422</f>
        <v>Output - Waste</v>
      </c>
      <c r="F422" s="9" t="s">
        <v>8</v>
      </c>
      <c r="G422" s="9" t="s">
        <v>1088</v>
      </c>
      <c r="H422" s="9" t="str">
        <f>IF(E422="x","Economic - "&amp;G422,"Environmental - "&amp;G422)</f>
        <v>Environmental - Pollution</v>
      </c>
      <c r="I422" s="12" t="s">
        <v>831</v>
      </c>
      <c r="J422" s="9" t="s">
        <v>832</v>
      </c>
      <c r="K422" s="9" t="s">
        <v>10</v>
      </c>
      <c r="L422" s="9" t="s">
        <v>829</v>
      </c>
      <c r="M422" s="9" t="s">
        <v>468</v>
      </c>
      <c r="N422" s="9">
        <f>LEN(O422) - LEN(SUBSTITUTE(O422, ";", ""))+1</f>
        <v>3</v>
      </c>
      <c r="O422" s="9" t="s">
        <v>833</v>
      </c>
      <c r="P422" s="9" t="s">
        <v>39</v>
      </c>
      <c r="Q422" s="9" t="s">
        <v>2112</v>
      </c>
      <c r="R422" s="9" t="s">
        <v>17</v>
      </c>
      <c r="S422" s="9" t="s">
        <v>1823</v>
      </c>
      <c r="W422" s="23"/>
    </row>
    <row r="423" spans="1:23" ht="51.5" customHeight="1" x14ac:dyDescent="0.35">
      <c r="A423" s="9" t="s">
        <v>1745</v>
      </c>
      <c r="B423" s="9" t="s">
        <v>707</v>
      </c>
      <c r="C423" s="9" t="s">
        <v>726</v>
      </c>
      <c r="D423" s="9" t="str">
        <f>B423&amp;" - "&amp;C423</f>
        <v>Output - Waste</v>
      </c>
      <c r="F423" s="9" t="s">
        <v>8</v>
      </c>
      <c r="G423" s="9" t="s">
        <v>1088</v>
      </c>
      <c r="H423" s="9" t="str">
        <f>IF(E423="x","Economic - "&amp;G423,"Environmental - "&amp;G423)</f>
        <v>Environmental - Pollution</v>
      </c>
      <c r="I423" s="12" t="s">
        <v>1266</v>
      </c>
      <c r="J423" s="9" t="s">
        <v>1265</v>
      </c>
      <c r="K423" s="9" t="s">
        <v>10</v>
      </c>
      <c r="L423" s="9" t="s">
        <v>11</v>
      </c>
      <c r="M423" s="9" t="s">
        <v>468</v>
      </c>
      <c r="N423" s="9">
        <f>LEN(O423) - LEN(SUBSTITUTE(O423, ";", ""))+1</f>
        <v>2</v>
      </c>
      <c r="O423" s="9" t="s">
        <v>1928</v>
      </c>
      <c r="P423" s="9" t="s">
        <v>39</v>
      </c>
      <c r="Q423" s="9" t="s">
        <v>40</v>
      </c>
      <c r="R423" s="9" t="s">
        <v>17</v>
      </c>
      <c r="S423" s="9" t="s">
        <v>1827</v>
      </c>
      <c r="W423" s="23"/>
    </row>
    <row r="424" spans="1:23" ht="51.5" customHeight="1" x14ac:dyDescent="0.35">
      <c r="A424" s="9" t="s">
        <v>1746</v>
      </c>
      <c r="B424" s="9" t="s">
        <v>707</v>
      </c>
      <c r="C424" s="9" t="s">
        <v>726</v>
      </c>
      <c r="D424" s="9" t="str">
        <f>B424&amp;" - "&amp;C424</f>
        <v>Output - Waste</v>
      </c>
      <c r="F424" s="9" t="s">
        <v>8</v>
      </c>
      <c r="G424" s="9" t="s">
        <v>1088</v>
      </c>
      <c r="H424" s="9" t="str">
        <f>IF(E424="x","Economic - "&amp;G424,"Environmental - "&amp;G424)</f>
        <v>Environmental - Pollution</v>
      </c>
      <c r="I424" s="12" t="s">
        <v>834</v>
      </c>
      <c r="J424" s="9" t="s">
        <v>835</v>
      </c>
      <c r="K424" s="9" t="s">
        <v>10</v>
      </c>
      <c r="L424" s="9" t="s">
        <v>1818</v>
      </c>
      <c r="M424" s="9" t="s">
        <v>468</v>
      </c>
      <c r="N424" s="9">
        <f>LEN(O424) - LEN(SUBSTITUTE(O424, ";", ""))+1</f>
        <v>1</v>
      </c>
      <c r="O424" s="9" t="s">
        <v>836</v>
      </c>
      <c r="P424" s="9" t="s">
        <v>84</v>
      </c>
      <c r="Q424" s="9" t="s">
        <v>117</v>
      </c>
      <c r="R424" s="9" t="s">
        <v>17</v>
      </c>
      <c r="S424" s="9" t="s">
        <v>1828</v>
      </c>
      <c r="W424" s="23"/>
    </row>
    <row r="425" spans="1:23" ht="51.5" customHeight="1" x14ac:dyDescent="0.35">
      <c r="A425" s="9" t="s">
        <v>1747</v>
      </c>
      <c r="B425" s="9" t="s">
        <v>707</v>
      </c>
      <c r="C425" s="9" t="s">
        <v>726</v>
      </c>
      <c r="D425" s="9" t="str">
        <f>B425&amp;" - "&amp;C425</f>
        <v>Output - Waste</v>
      </c>
      <c r="F425" s="9" t="s">
        <v>8</v>
      </c>
      <c r="G425" s="9" t="s">
        <v>1088</v>
      </c>
      <c r="H425" s="9" t="str">
        <f>IF(E425="x","Economic - "&amp;G425,"Environmental - "&amp;G425)</f>
        <v>Environmental - Pollution</v>
      </c>
      <c r="I425" s="12" t="s">
        <v>837</v>
      </c>
      <c r="J425" s="9" t="s">
        <v>838</v>
      </c>
      <c r="K425" s="9" t="s">
        <v>10</v>
      </c>
      <c r="L425" s="9" t="s">
        <v>1818</v>
      </c>
      <c r="M425" s="9" t="s">
        <v>468</v>
      </c>
      <c r="N425" s="9">
        <f>LEN(O425) - LEN(SUBSTITUTE(O425, ";", ""))+1</f>
        <v>1</v>
      </c>
      <c r="O425" s="9" t="s">
        <v>836</v>
      </c>
      <c r="P425" s="9" t="s">
        <v>84</v>
      </c>
      <c r="Q425" s="9" t="s">
        <v>117</v>
      </c>
      <c r="R425" s="9" t="s">
        <v>17</v>
      </c>
      <c r="S425" s="9" t="s">
        <v>1828</v>
      </c>
      <c r="W425" s="23"/>
    </row>
    <row r="426" spans="1:23" ht="51.5" customHeight="1" x14ac:dyDescent="0.35">
      <c r="A426" s="9" t="s">
        <v>1748</v>
      </c>
      <c r="B426" s="9" t="s">
        <v>707</v>
      </c>
      <c r="C426" s="9" t="s">
        <v>726</v>
      </c>
      <c r="D426" s="9" t="str">
        <f>B426&amp;" - "&amp;C426</f>
        <v>Output - Waste</v>
      </c>
      <c r="F426" s="9" t="s">
        <v>8</v>
      </c>
      <c r="G426" s="9" t="s">
        <v>1088</v>
      </c>
      <c r="H426" s="9" t="str">
        <f>IF(E426="x","Economic - "&amp;G426,"Environmental - "&amp;G426)</f>
        <v>Environmental - Pollution</v>
      </c>
      <c r="I426" s="12" t="s">
        <v>839</v>
      </c>
      <c r="J426" s="9" t="s">
        <v>840</v>
      </c>
      <c r="K426" s="9" t="s">
        <v>10</v>
      </c>
      <c r="L426" s="9" t="s">
        <v>1818</v>
      </c>
      <c r="M426" s="9" t="s">
        <v>468</v>
      </c>
      <c r="N426" s="9">
        <f>LEN(O426) - LEN(SUBSTITUTE(O426, ";", ""))+1</f>
        <v>1</v>
      </c>
      <c r="O426" s="9" t="s">
        <v>836</v>
      </c>
      <c r="P426" s="9" t="s">
        <v>84</v>
      </c>
      <c r="Q426" s="9" t="s">
        <v>117</v>
      </c>
      <c r="R426" s="9" t="s">
        <v>17</v>
      </c>
      <c r="S426" s="9" t="s">
        <v>1828</v>
      </c>
      <c r="W426" s="23"/>
    </row>
    <row r="427" spans="1:23" ht="51.5" customHeight="1" x14ac:dyDescent="0.35">
      <c r="A427" s="9" t="s">
        <v>1749</v>
      </c>
      <c r="B427" s="9" t="s">
        <v>707</v>
      </c>
      <c r="C427" s="9" t="s">
        <v>726</v>
      </c>
      <c r="D427" s="9" t="str">
        <f>B427&amp;" - "&amp;C427</f>
        <v>Output - Waste</v>
      </c>
      <c r="F427" s="9" t="s">
        <v>8</v>
      </c>
      <c r="G427" s="9" t="s">
        <v>1088</v>
      </c>
      <c r="H427" s="9" t="str">
        <f>IF(E427="x","Economic - "&amp;G427,"Environmental - "&amp;G427)</f>
        <v>Environmental - Pollution</v>
      </c>
      <c r="I427" s="12" t="s">
        <v>841</v>
      </c>
      <c r="J427" s="9" t="s">
        <v>842</v>
      </c>
      <c r="K427" s="9" t="s">
        <v>10</v>
      </c>
      <c r="L427" s="9" t="s">
        <v>1818</v>
      </c>
      <c r="M427" s="9" t="s">
        <v>468</v>
      </c>
      <c r="N427" s="9">
        <f>LEN(O427) - LEN(SUBSTITUTE(O427, ";", ""))+1</f>
        <v>1</v>
      </c>
      <c r="O427" s="9" t="s">
        <v>836</v>
      </c>
      <c r="P427" s="9" t="s">
        <v>84</v>
      </c>
      <c r="Q427" s="9" t="s">
        <v>117</v>
      </c>
      <c r="R427" s="9" t="s">
        <v>17</v>
      </c>
      <c r="S427" s="9" t="s">
        <v>1828</v>
      </c>
      <c r="W427" s="23"/>
    </row>
    <row r="428" spans="1:23" ht="51.5" customHeight="1" x14ac:dyDescent="0.35">
      <c r="A428" s="9" t="s">
        <v>1750</v>
      </c>
      <c r="B428" s="9" t="s">
        <v>707</v>
      </c>
      <c r="C428" s="9" t="s">
        <v>726</v>
      </c>
      <c r="D428" s="9" t="str">
        <f>B428&amp;" - "&amp;C428</f>
        <v>Output - Waste</v>
      </c>
      <c r="F428" s="9" t="s">
        <v>8</v>
      </c>
      <c r="G428" s="9" t="s">
        <v>1088</v>
      </c>
      <c r="H428" s="9" t="str">
        <f>IF(E428="x","Economic - "&amp;G428,"Environmental - "&amp;G428)</f>
        <v>Environmental - Pollution</v>
      </c>
      <c r="I428" s="12" t="s">
        <v>843</v>
      </c>
      <c r="J428" s="9" t="s">
        <v>844</v>
      </c>
      <c r="K428" s="9" t="s">
        <v>10</v>
      </c>
      <c r="L428" s="9" t="s">
        <v>1818</v>
      </c>
      <c r="M428" s="9" t="s">
        <v>468</v>
      </c>
      <c r="N428" s="9">
        <f>LEN(O428) - LEN(SUBSTITUTE(O428, ";", ""))+1</f>
        <v>1</v>
      </c>
      <c r="O428" s="9" t="s">
        <v>836</v>
      </c>
      <c r="P428" s="9" t="s">
        <v>84</v>
      </c>
      <c r="Q428" s="9" t="s">
        <v>117</v>
      </c>
      <c r="R428" s="9" t="s">
        <v>17</v>
      </c>
      <c r="S428" s="9" t="s">
        <v>1828</v>
      </c>
      <c r="W428" s="23"/>
    </row>
    <row r="429" spans="1:23" ht="51.5" customHeight="1" x14ac:dyDescent="0.35">
      <c r="A429" s="9" t="s">
        <v>1751</v>
      </c>
      <c r="B429" s="9" t="s">
        <v>707</v>
      </c>
      <c r="C429" s="9" t="s">
        <v>726</v>
      </c>
      <c r="D429" s="9" t="str">
        <f>B429&amp;" - "&amp;C429</f>
        <v>Output - Waste</v>
      </c>
      <c r="F429" s="9" t="s">
        <v>8</v>
      </c>
      <c r="G429" s="9" t="s">
        <v>1088</v>
      </c>
      <c r="H429" s="9" t="str">
        <f>IF(E429="x","Economic - "&amp;G429,"Environmental - "&amp;G429)</f>
        <v>Environmental - Pollution</v>
      </c>
      <c r="I429" s="12" t="s">
        <v>845</v>
      </c>
      <c r="J429" s="9" t="s">
        <v>846</v>
      </c>
      <c r="K429" s="9" t="s">
        <v>10</v>
      </c>
      <c r="L429" s="9" t="s">
        <v>1818</v>
      </c>
      <c r="M429" s="9" t="s">
        <v>468</v>
      </c>
      <c r="N429" s="9">
        <f>LEN(O429) - LEN(SUBSTITUTE(O429, ";", ""))+1</f>
        <v>1</v>
      </c>
      <c r="O429" s="9" t="s">
        <v>836</v>
      </c>
      <c r="P429" s="9" t="s">
        <v>84</v>
      </c>
      <c r="Q429" s="9" t="s">
        <v>117</v>
      </c>
      <c r="R429" s="9" t="s">
        <v>17</v>
      </c>
      <c r="S429" s="9" t="s">
        <v>1828</v>
      </c>
      <c r="W429" s="23"/>
    </row>
    <row r="430" spans="1:23" ht="51.5" customHeight="1" x14ac:dyDescent="0.35">
      <c r="A430" s="9" t="s">
        <v>1752</v>
      </c>
      <c r="B430" s="9" t="s">
        <v>707</v>
      </c>
      <c r="C430" s="9" t="s">
        <v>847</v>
      </c>
      <c r="D430" s="9" t="str">
        <f>B430&amp;" - "&amp;C430</f>
        <v>Output - Emissions</v>
      </c>
      <c r="F430" s="9" t="s">
        <v>8</v>
      </c>
      <c r="G430" s="9" t="s">
        <v>1088</v>
      </c>
      <c r="H430" s="9" t="str">
        <f>IF(E430="x","Economic - "&amp;G430,"Environmental - "&amp;G430)</f>
        <v>Environmental - Pollution</v>
      </c>
      <c r="I430" s="12" t="s">
        <v>848</v>
      </c>
      <c r="J430" s="9" t="s">
        <v>1213</v>
      </c>
      <c r="K430" s="9" t="s">
        <v>10</v>
      </c>
      <c r="L430" s="9" t="s">
        <v>11</v>
      </c>
      <c r="M430" s="9" t="s">
        <v>468</v>
      </c>
      <c r="N430" s="9">
        <f>LEN(O430) - LEN(SUBSTITUTE(O430, ";", ""))+1</f>
        <v>25</v>
      </c>
      <c r="O430" s="9" t="s">
        <v>2090</v>
      </c>
      <c r="P430" s="9" t="s">
        <v>13</v>
      </c>
      <c r="Q430" s="9" t="s">
        <v>2138</v>
      </c>
      <c r="R430" s="9" t="s">
        <v>1289</v>
      </c>
      <c r="S430" s="9" t="s">
        <v>1823</v>
      </c>
      <c r="W430" s="23"/>
    </row>
    <row r="431" spans="1:23" ht="51.5" customHeight="1" x14ac:dyDescent="0.35">
      <c r="A431" s="9" t="s">
        <v>1753</v>
      </c>
      <c r="B431" s="9" t="s">
        <v>707</v>
      </c>
      <c r="C431" s="9" t="s">
        <v>847</v>
      </c>
      <c r="D431" s="9" t="str">
        <f>B431&amp;" - "&amp;C431</f>
        <v>Output - Emissions</v>
      </c>
      <c r="F431" s="9" t="s">
        <v>8</v>
      </c>
      <c r="G431" s="9" t="s">
        <v>1088</v>
      </c>
      <c r="H431" s="9" t="str">
        <f>IF(E431="x","Economic - "&amp;G431,"Environmental - "&amp;G431)</f>
        <v>Environmental - Pollution</v>
      </c>
      <c r="I431" s="12" t="s">
        <v>1234</v>
      </c>
      <c r="J431" s="9" t="s">
        <v>1233</v>
      </c>
      <c r="K431" s="9" t="s">
        <v>10</v>
      </c>
      <c r="L431" s="9" t="s">
        <v>1221</v>
      </c>
      <c r="M431" s="9" t="s">
        <v>468</v>
      </c>
      <c r="N431" s="9">
        <f>LEN(O431) - LEN(SUBSTITUTE(O431, ";", ""))+1</f>
        <v>3</v>
      </c>
      <c r="O431" s="9" t="s">
        <v>849</v>
      </c>
      <c r="P431" s="9" t="s">
        <v>50</v>
      </c>
      <c r="Q431" s="9" t="s">
        <v>1329</v>
      </c>
      <c r="R431" s="9" t="s">
        <v>1297</v>
      </c>
      <c r="S431" s="9" t="s">
        <v>1826</v>
      </c>
      <c r="W431" s="23"/>
    </row>
    <row r="432" spans="1:23" ht="51.5" customHeight="1" x14ac:dyDescent="0.35">
      <c r="A432" s="9" t="s">
        <v>1754</v>
      </c>
      <c r="B432" s="9" t="s">
        <v>707</v>
      </c>
      <c r="C432" s="9" t="s">
        <v>847</v>
      </c>
      <c r="D432" s="9" t="str">
        <f>B432&amp;" - "&amp;C432</f>
        <v>Output - Emissions</v>
      </c>
      <c r="F432" s="9" t="s">
        <v>8</v>
      </c>
      <c r="G432" s="9" t="s">
        <v>1088</v>
      </c>
      <c r="H432" s="9" t="str">
        <f>IF(E432="x","Economic - "&amp;G432,"Environmental - "&amp;G432)</f>
        <v>Environmental - Pollution</v>
      </c>
      <c r="I432" s="12" t="s">
        <v>850</v>
      </c>
      <c r="J432" s="9" t="s">
        <v>851</v>
      </c>
      <c r="K432" s="9" t="s">
        <v>10</v>
      </c>
      <c r="L432" s="9" t="s">
        <v>16</v>
      </c>
      <c r="M432" s="9" t="s">
        <v>468</v>
      </c>
      <c r="N432" s="9">
        <f>LEN(O432) - LEN(SUBSTITUTE(O432, ";", ""))+1</f>
        <v>1</v>
      </c>
      <c r="O432" s="9" t="s">
        <v>1059</v>
      </c>
      <c r="P432" s="9" t="s">
        <v>39</v>
      </c>
      <c r="Q432" s="9" t="s">
        <v>98</v>
      </c>
      <c r="R432" s="9" t="s">
        <v>17</v>
      </c>
      <c r="S432" s="9" t="s">
        <v>1828</v>
      </c>
      <c r="W432" s="23"/>
    </row>
    <row r="433" spans="1:23" ht="51.5" customHeight="1" x14ac:dyDescent="0.35">
      <c r="A433" s="9" t="s">
        <v>1755</v>
      </c>
      <c r="B433" s="9" t="s">
        <v>707</v>
      </c>
      <c r="C433" s="9" t="s">
        <v>847</v>
      </c>
      <c r="D433" s="9" t="str">
        <f>B433&amp;" - "&amp;C433</f>
        <v>Output - Emissions</v>
      </c>
      <c r="E433" s="9" t="s">
        <v>8</v>
      </c>
      <c r="G433" s="9" t="s">
        <v>1086</v>
      </c>
      <c r="H433" s="9" t="str">
        <f>IF(E433="x","Economic - "&amp;G433,"Environmental - "&amp;G433)</f>
        <v>Economic - Cost</v>
      </c>
      <c r="I433" s="12" t="s">
        <v>852</v>
      </c>
      <c r="J433" s="9" t="s">
        <v>853</v>
      </c>
      <c r="K433" s="9" t="s">
        <v>10</v>
      </c>
      <c r="L433" s="9" t="s">
        <v>19</v>
      </c>
      <c r="M433" s="9" t="s">
        <v>468</v>
      </c>
      <c r="N433" s="9">
        <f>LEN(O433) - LEN(SUBSTITUTE(O433, ";", ""))+1</f>
        <v>1</v>
      </c>
      <c r="O433" s="9" t="s">
        <v>38</v>
      </c>
      <c r="P433" s="9" t="s">
        <v>39</v>
      </c>
      <c r="Q433" s="9" t="s">
        <v>40</v>
      </c>
      <c r="R433" s="9" t="s">
        <v>17</v>
      </c>
      <c r="S433" s="9" t="s">
        <v>1825</v>
      </c>
      <c r="W433" s="23"/>
    </row>
    <row r="434" spans="1:23" ht="51.5" customHeight="1" x14ac:dyDescent="0.35">
      <c r="A434" s="9" t="s">
        <v>1756</v>
      </c>
      <c r="B434" s="9" t="s">
        <v>707</v>
      </c>
      <c r="C434" s="9" t="s">
        <v>847</v>
      </c>
      <c r="D434" s="9" t="str">
        <f>B434&amp;" - "&amp;C434</f>
        <v>Output - Emissions</v>
      </c>
      <c r="F434" s="9" t="s">
        <v>8</v>
      </c>
      <c r="G434" s="9" t="s">
        <v>1088</v>
      </c>
      <c r="H434" s="9" t="str">
        <f>IF(E434="x","Economic - "&amp;G434,"Environmental - "&amp;G434)</f>
        <v>Environmental - Pollution</v>
      </c>
      <c r="I434" s="12" t="s">
        <v>854</v>
      </c>
      <c r="J434" s="9" t="s">
        <v>855</v>
      </c>
      <c r="K434" s="9" t="s">
        <v>10</v>
      </c>
      <c r="L434" s="9" t="s">
        <v>1817</v>
      </c>
      <c r="M434" s="9" t="s">
        <v>468</v>
      </c>
      <c r="N434" s="9">
        <f>LEN(O434) - LEN(SUBSTITUTE(O434, ";", ""))+1</f>
        <v>2</v>
      </c>
      <c r="O434" s="9" t="s">
        <v>1068</v>
      </c>
      <c r="P434" s="9" t="s">
        <v>65</v>
      </c>
      <c r="Q434" s="9" t="s">
        <v>305</v>
      </c>
      <c r="R434" s="9" t="s">
        <v>1302</v>
      </c>
      <c r="S434" s="9" t="s">
        <v>1827</v>
      </c>
      <c r="W434" s="23"/>
    </row>
    <row r="435" spans="1:23" ht="51.5" customHeight="1" x14ac:dyDescent="0.35">
      <c r="A435" s="9" t="s">
        <v>1757</v>
      </c>
      <c r="B435" s="9" t="s">
        <v>707</v>
      </c>
      <c r="C435" s="9" t="s">
        <v>847</v>
      </c>
      <c r="D435" s="9" t="str">
        <f>B435&amp;" - "&amp;C435</f>
        <v>Output - Emissions</v>
      </c>
      <c r="F435" s="9" t="s">
        <v>8</v>
      </c>
      <c r="G435" s="9" t="s">
        <v>1199</v>
      </c>
      <c r="H435" s="9" t="str">
        <f>IF(E435="x","Economic - "&amp;G435,"Environmental - "&amp;G435)</f>
        <v>Environmental - Climate Change</v>
      </c>
      <c r="I435" s="12" t="s">
        <v>856</v>
      </c>
      <c r="J435" s="9" t="s">
        <v>1214</v>
      </c>
      <c r="K435" s="9" t="s">
        <v>10</v>
      </c>
      <c r="L435" s="9" t="s">
        <v>540</v>
      </c>
      <c r="M435" s="9" t="s">
        <v>468</v>
      </c>
      <c r="N435" s="9">
        <f>LEN(O435) - LEN(SUBSTITUTE(O435, ";", ""))+1</f>
        <v>21</v>
      </c>
      <c r="O435" s="9" t="s">
        <v>2091</v>
      </c>
      <c r="P435" s="9" t="s">
        <v>50</v>
      </c>
      <c r="Q435" s="9" t="s">
        <v>2139</v>
      </c>
      <c r="R435" s="9" t="s">
        <v>1286</v>
      </c>
      <c r="S435" s="9" t="s">
        <v>1823</v>
      </c>
      <c r="W435" s="23"/>
    </row>
    <row r="436" spans="1:23" ht="51.5" customHeight="1" x14ac:dyDescent="0.35">
      <c r="A436" s="9" t="s">
        <v>1758</v>
      </c>
      <c r="B436" s="9" t="s">
        <v>707</v>
      </c>
      <c r="C436" s="9" t="s">
        <v>847</v>
      </c>
      <c r="D436" s="9" t="str">
        <f>B436&amp;" - "&amp;C436</f>
        <v>Output - Emissions</v>
      </c>
      <c r="F436" s="9" t="s">
        <v>8</v>
      </c>
      <c r="G436" s="9" t="s">
        <v>1199</v>
      </c>
      <c r="H436" s="9" t="str">
        <f>IF(E436="x","Economic - "&amp;G436,"Environmental - "&amp;G436)</f>
        <v>Environmental - Climate Change</v>
      </c>
      <c r="I436" s="12" t="s">
        <v>1226</v>
      </c>
      <c r="J436" s="9" t="s">
        <v>1224</v>
      </c>
      <c r="K436" s="9" t="s">
        <v>10</v>
      </c>
      <c r="L436" s="9" t="s">
        <v>1225</v>
      </c>
      <c r="M436" s="9" t="s">
        <v>857</v>
      </c>
      <c r="N436" s="9">
        <f>LEN(O436) - LEN(SUBSTITUTE(O436, ";", ""))+1</f>
        <v>7</v>
      </c>
      <c r="O436" s="9" t="s">
        <v>1911</v>
      </c>
      <c r="P436" s="9" t="s">
        <v>50</v>
      </c>
      <c r="Q436" s="9" t="s">
        <v>1353</v>
      </c>
      <c r="R436" s="9" t="s">
        <v>1284</v>
      </c>
      <c r="S436" s="9" t="s">
        <v>1823</v>
      </c>
      <c r="W436" s="23"/>
    </row>
    <row r="437" spans="1:23" ht="51.5" customHeight="1" x14ac:dyDescent="0.35">
      <c r="A437" s="9" t="s">
        <v>1759</v>
      </c>
      <c r="B437" s="9" t="s">
        <v>707</v>
      </c>
      <c r="C437" s="9" t="s">
        <v>847</v>
      </c>
      <c r="D437" s="9" t="str">
        <f>B437&amp;" - "&amp;C437</f>
        <v>Output - Emissions</v>
      </c>
      <c r="F437" s="9" t="s">
        <v>8</v>
      </c>
      <c r="G437" s="9" t="s">
        <v>1199</v>
      </c>
      <c r="H437" s="9" t="str">
        <f>IF(E437="x","Economic - "&amp;G437,"Environmental - "&amp;G437)</f>
        <v>Environmental - Climate Change</v>
      </c>
      <c r="I437" s="12" t="s">
        <v>858</v>
      </c>
      <c r="J437" s="9" t="s">
        <v>1145</v>
      </c>
      <c r="K437" s="9" t="s">
        <v>10</v>
      </c>
      <c r="L437" s="9" t="s">
        <v>540</v>
      </c>
      <c r="M437" s="9" t="s">
        <v>859</v>
      </c>
      <c r="N437" s="9">
        <f>LEN(O437) - LEN(SUBSTITUTE(O437, ";", ""))+1</f>
        <v>3</v>
      </c>
      <c r="O437" s="9" t="s">
        <v>1981</v>
      </c>
      <c r="P437" s="9" t="s">
        <v>148</v>
      </c>
      <c r="Q437" s="9" t="s">
        <v>1310</v>
      </c>
      <c r="R437" s="9" t="s">
        <v>1297</v>
      </c>
      <c r="S437" s="9" t="s">
        <v>17</v>
      </c>
      <c r="W437" s="23"/>
    </row>
    <row r="438" spans="1:23" ht="51.5" customHeight="1" x14ac:dyDescent="0.35">
      <c r="A438" s="9" t="s">
        <v>1760</v>
      </c>
      <c r="B438" s="9" t="s">
        <v>707</v>
      </c>
      <c r="C438" s="9" t="s">
        <v>847</v>
      </c>
      <c r="D438" s="9" t="str">
        <f>B438&amp;" - "&amp;C438</f>
        <v>Output - Emissions</v>
      </c>
      <c r="F438" s="9" t="s">
        <v>8</v>
      </c>
      <c r="G438" s="9" t="s">
        <v>1199</v>
      </c>
      <c r="H438" s="9" t="str">
        <f>IF(E438="x","Economic - "&amp;G438,"Environmental - "&amp;G438)</f>
        <v>Environmental - Climate Change</v>
      </c>
      <c r="I438" s="12" t="s">
        <v>860</v>
      </c>
      <c r="J438" s="9" t="s">
        <v>1146</v>
      </c>
      <c r="K438" s="9" t="s">
        <v>10</v>
      </c>
      <c r="L438" s="9" t="s">
        <v>540</v>
      </c>
      <c r="M438" s="9" t="s">
        <v>861</v>
      </c>
      <c r="N438" s="9">
        <f>LEN(O438) - LEN(SUBSTITUTE(O438, ";", ""))+1</f>
        <v>1</v>
      </c>
      <c r="O438" s="9" t="s">
        <v>1049</v>
      </c>
      <c r="P438" s="9" t="s">
        <v>29</v>
      </c>
      <c r="Q438" s="9" t="s">
        <v>17</v>
      </c>
      <c r="R438" s="9" t="s">
        <v>17</v>
      </c>
      <c r="S438" s="9" t="s">
        <v>17</v>
      </c>
      <c r="W438" s="23"/>
    </row>
    <row r="439" spans="1:23" ht="51.5" customHeight="1" x14ac:dyDescent="0.35">
      <c r="A439" s="9" t="s">
        <v>1761</v>
      </c>
      <c r="B439" s="9" t="s">
        <v>707</v>
      </c>
      <c r="C439" s="9" t="s">
        <v>847</v>
      </c>
      <c r="D439" s="9" t="str">
        <f>B439&amp;" - "&amp;C439</f>
        <v>Output - Emissions</v>
      </c>
      <c r="F439" s="9" t="s">
        <v>8</v>
      </c>
      <c r="G439" s="9" t="s">
        <v>1199</v>
      </c>
      <c r="H439" s="9" t="str">
        <f>IF(E439="x","Economic - "&amp;G439,"Environmental - "&amp;G439)</f>
        <v>Environmental - Climate Change</v>
      </c>
      <c r="I439" s="12" t="s">
        <v>862</v>
      </c>
      <c r="J439" s="9" t="s">
        <v>1147</v>
      </c>
      <c r="K439" s="9" t="s">
        <v>10</v>
      </c>
      <c r="L439" s="9" t="s">
        <v>540</v>
      </c>
      <c r="M439" s="9" t="s">
        <v>468</v>
      </c>
      <c r="N439" s="9">
        <f>LEN(O439) - LEN(SUBSTITUTE(O439, ";", ""))+1</f>
        <v>2</v>
      </c>
      <c r="O439" s="9" t="s">
        <v>863</v>
      </c>
      <c r="P439" s="9" t="s">
        <v>65</v>
      </c>
      <c r="Q439" s="9" t="s">
        <v>308</v>
      </c>
      <c r="R439" s="9" t="s">
        <v>1284</v>
      </c>
      <c r="S439" s="9" t="s">
        <v>1827</v>
      </c>
      <c r="W439" s="23"/>
    </row>
    <row r="440" spans="1:23" ht="51.5" customHeight="1" x14ac:dyDescent="0.35">
      <c r="A440" s="9" t="s">
        <v>1762</v>
      </c>
      <c r="B440" s="9" t="s">
        <v>707</v>
      </c>
      <c r="C440" s="9" t="s">
        <v>847</v>
      </c>
      <c r="D440" s="9" t="str">
        <f>B440&amp;" - "&amp;C440</f>
        <v>Output - Emissions</v>
      </c>
      <c r="F440" s="9" t="s">
        <v>8</v>
      </c>
      <c r="G440" s="9" t="s">
        <v>1199</v>
      </c>
      <c r="H440" s="9" t="str">
        <f>IF(E440="x","Economic - "&amp;G440,"Environmental - "&amp;G440)</f>
        <v>Environmental - Climate Change</v>
      </c>
      <c r="I440" s="12" t="s">
        <v>864</v>
      </c>
      <c r="J440" s="9" t="s">
        <v>865</v>
      </c>
      <c r="K440" s="9" t="s">
        <v>10</v>
      </c>
      <c r="L440" s="9" t="s">
        <v>540</v>
      </c>
      <c r="M440" s="9" t="s">
        <v>468</v>
      </c>
      <c r="N440" s="9">
        <f>LEN(O440) - LEN(SUBSTITUTE(O440, ";", ""))+1</f>
        <v>1</v>
      </c>
      <c r="O440" s="9" t="s">
        <v>38</v>
      </c>
      <c r="P440" s="9" t="s">
        <v>39</v>
      </c>
      <c r="Q440" s="9" t="s">
        <v>40</v>
      </c>
      <c r="R440" s="9" t="s">
        <v>17</v>
      </c>
      <c r="S440" s="9" t="s">
        <v>1825</v>
      </c>
      <c r="W440" s="23"/>
    </row>
    <row r="441" spans="1:23" ht="51.5" customHeight="1" x14ac:dyDescent="0.35">
      <c r="A441" s="9" t="s">
        <v>1763</v>
      </c>
      <c r="B441" s="9" t="s">
        <v>707</v>
      </c>
      <c r="C441" s="9" t="s">
        <v>847</v>
      </c>
      <c r="D441" s="9" t="str">
        <f>B441&amp;" - "&amp;C441</f>
        <v>Output - Emissions</v>
      </c>
      <c r="F441" s="9" t="s">
        <v>8</v>
      </c>
      <c r="G441" s="9" t="s">
        <v>1199</v>
      </c>
      <c r="H441" s="9" t="str">
        <f>IF(E441="x","Economic - "&amp;G441,"Environmental - "&amp;G441)</f>
        <v>Environmental - Climate Change</v>
      </c>
      <c r="I441" s="12" t="s">
        <v>866</v>
      </c>
      <c r="J441" s="9" t="s">
        <v>867</v>
      </c>
      <c r="K441" s="9" t="s">
        <v>10</v>
      </c>
      <c r="L441" s="9" t="s">
        <v>11</v>
      </c>
      <c r="M441" s="9" t="s">
        <v>468</v>
      </c>
      <c r="N441" s="9">
        <f>LEN(O441) - LEN(SUBSTITUTE(O441, ";", ""))+1</f>
        <v>11</v>
      </c>
      <c r="O441" s="9" t="s">
        <v>1905</v>
      </c>
      <c r="P441" s="9" t="s">
        <v>353</v>
      </c>
      <c r="Q441" s="9" t="s">
        <v>1866</v>
      </c>
      <c r="R441" s="9" t="s">
        <v>1354</v>
      </c>
      <c r="S441" s="9" t="s">
        <v>1826</v>
      </c>
      <c r="W441" s="23"/>
    </row>
    <row r="442" spans="1:23" ht="51.5" customHeight="1" x14ac:dyDescent="0.35">
      <c r="A442" s="9" t="s">
        <v>1764</v>
      </c>
      <c r="B442" s="9" t="s">
        <v>707</v>
      </c>
      <c r="C442" s="9" t="s">
        <v>847</v>
      </c>
      <c r="D442" s="9" t="str">
        <f>B442&amp;" - "&amp;C442</f>
        <v>Output - Emissions</v>
      </c>
      <c r="F442" s="9" t="s">
        <v>8</v>
      </c>
      <c r="G442" s="9" t="s">
        <v>1199</v>
      </c>
      <c r="H442" s="9" t="str">
        <f>IF(E442="x","Economic - "&amp;G442,"Environmental - "&amp;G442)</f>
        <v>Environmental - Climate Change</v>
      </c>
      <c r="I442" s="12" t="s">
        <v>868</v>
      </c>
      <c r="J442" s="9" t="s">
        <v>1906</v>
      </c>
      <c r="K442" s="9" t="s">
        <v>10</v>
      </c>
      <c r="L442" s="9" t="s">
        <v>16</v>
      </c>
      <c r="M442" s="9" t="s">
        <v>468</v>
      </c>
      <c r="N442" s="9">
        <f>LEN(O442) - LEN(SUBSTITUTE(O442, ";", ""))+1</f>
        <v>2</v>
      </c>
      <c r="O442" s="9" t="s">
        <v>180</v>
      </c>
      <c r="P442" s="9" t="s">
        <v>84</v>
      </c>
      <c r="Q442" s="9" t="s">
        <v>1309</v>
      </c>
      <c r="R442" s="9" t="s">
        <v>1292</v>
      </c>
      <c r="S442" s="9" t="s">
        <v>17</v>
      </c>
      <c r="W442" s="23"/>
    </row>
    <row r="443" spans="1:23" ht="51.5" customHeight="1" x14ac:dyDescent="0.35">
      <c r="A443" s="9" t="s">
        <v>1765</v>
      </c>
      <c r="B443" s="9" t="s">
        <v>707</v>
      </c>
      <c r="C443" s="9" t="s">
        <v>847</v>
      </c>
      <c r="D443" s="9" t="str">
        <f>B443&amp;" - "&amp;C443</f>
        <v>Output - Emissions</v>
      </c>
      <c r="F443" s="9" t="s">
        <v>8</v>
      </c>
      <c r="G443" s="9" t="s">
        <v>1088</v>
      </c>
      <c r="H443" s="9" t="str">
        <f>IF(E443="x","Economic - "&amp;G443,"Environmental - "&amp;G443)</f>
        <v>Environmental - Pollution</v>
      </c>
      <c r="I443" s="12" t="s">
        <v>869</v>
      </c>
      <c r="J443" s="9" t="s">
        <v>1248</v>
      </c>
      <c r="K443" s="9" t="s">
        <v>10</v>
      </c>
      <c r="L443" s="9" t="s">
        <v>870</v>
      </c>
      <c r="M443" s="9" t="s">
        <v>468</v>
      </c>
      <c r="N443" s="9">
        <f>LEN(O443) - LEN(SUBSTITUTE(O443, ";", ""))+1</f>
        <v>6</v>
      </c>
      <c r="O443" s="9" t="s">
        <v>2038</v>
      </c>
      <c r="P443" s="9" t="s">
        <v>165</v>
      </c>
      <c r="Q443" s="9" t="s">
        <v>1296</v>
      </c>
      <c r="R443" s="9" t="s">
        <v>1302</v>
      </c>
      <c r="S443" s="9" t="s">
        <v>1827</v>
      </c>
      <c r="W443" s="23"/>
    </row>
    <row r="444" spans="1:23" ht="51.5" customHeight="1" x14ac:dyDescent="0.35">
      <c r="A444" s="9" t="s">
        <v>1766</v>
      </c>
      <c r="B444" s="9" t="s">
        <v>707</v>
      </c>
      <c r="C444" s="9" t="s">
        <v>847</v>
      </c>
      <c r="D444" s="9" t="str">
        <f>B444&amp;" - "&amp;C444</f>
        <v>Output - Emissions</v>
      </c>
      <c r="F444" s="9" t="s">
        <v>8</v>
      </c>
      <c r="G444" s="9" t="s">
        <v>1088</v>
      </c>
      <c r="H444" s="9" t="str">
        <f>IF(E444="x","Economic - "&amp;G444,"Environmental - "&amp;G444)</f>
        <v>Environmental - Pollution</v>
      </c>
      <c r="I444" s="12" t="s">
        <v>871</v>
      </c>
      <c r="J444" s="9" t="s">
        <v>872</v>
      </c>
      <c r="K444" s="9" t="s">
        <v>10</v>
      </c>
      <c r="L444" s="9" t="s">
        <v>11</v>
      </c>
      <c r="M444" s="9" t="s">
        <v>2149</v>
      </c>
      <c r="N444" s="9">
        <f>LEN(O444) - LEN(SUBSTITUTE(O444, ";", ""))+1</f>
        <v>7</v>
      </c>
      <c r="O444" s="9" t="s">
        <v>1985</v>
      </c>
      <c r="P444" s="9" t="s">
        <v>65</v>
      </c>
      <c r="Q444" s="9" t="s">
        <v>2140</v>
      </c>
      <c r="R444" s="9" t="s">
        <v>1297</v>
      </c>
      <c r="S444" s="9" t="s">
        <v>1826</v>
      </c>
      <c r="W444" s="23"/>
    </row>
    <row r="445" spans="1:23" ht="51.5" customHeight="1" x14ac:dyDescent="0.35">
      <c r="A445" s="9" t="s">
        <v>1767</v>
      </c>
      <c r="B445" s="9" t="s">
        <v>707</v>
      </c>
      <c r="C445" s="9" t="s">
        <v>847</v>
      </c>
      <c r="D445" s="9" t="str">
        <f>B445&amp;" - "&amp;C445</f>
        <v>Output - Emissions</v>
      </c>
      <c r="F445" s="9" t="s">
        <v>8</v>
      </c>
      <c r="G445" s="9" t="s">
        <v>1088</v>
      </c>
      <c r="H445" s="9" t="str">
        <f>IF(E445="x","Economic - "&amp;G445,"Environmental - "&amp;G445)</f>
        <v>Environmental - Pollution</v>
      </c>
      <c r="I445" s="12" t="s">
        <v>873</v>
      </c>
      <c r="J445" s="9" t="s">
        <v>874</v>
      </c>
      <c r="K445" s="9" t="s">
        <v>10</v>
      </c>
      <c r="L445" s="9" t="s">
        <v>11</v>
      </c>
      <c r="M445" s="9" t="s">
        <v>2149</v>
      </c>
      <c r="N445" s="9">
        <f>LEN(O445) - LEN(SUBSTITUTE(O445, ";", ""))+1</f>
        <v>7</v>
      </c>
      <c r="O445" s="9" t="s">
        <v>2044</v>
      </c>
      <c r="P445" s="9" t="s">
        <v>65</v>
      </c>
      <c r="Q445" s="9" t="s">
        <v>2139</v>
      </c>
      <c r="R445" s="9" t="s">
        <v>17</v>
      </c>
      <c r="S445" s="9" t="s">
        <v>1826</v>
      </c>
      <c r="W445" s="23"/>
    </row>
    <row r="446" spans="1:23" ht="51.5" customHeight="1" x14ac:dyDescent="0.35">
      <c r="A446" s="9" t="s">
        <v>1768</v>
      </c>
      <c r="B446" s="9" t="s">
        <v>707</v>
      </c>
      <c r="C446" s="9" t="s">
        <v>847</v>
      </c>
      <c r="D446" s="9" t="str">
        <f>B446&amp;" - "&amp;C446</f>
        <v>Output - Emissions</v>
      </c>
      <c r="F446" s="9" t="s">
        <v>8</v>
      </c>
      <c r="G446" s="9" t="s">
        <v>1088</v>
      </c>
      <c r="H446" s="9" t="str">
        <f>IF(E446="x","Economic - "&amp;G446,"Environmental - "&amp;G446)</f>
        <v>Environmental - Pollution</v>
      </c>
      <c r="I446" s="12" t="s">
        <v>875</v>
      </c>
      <c r="J446" s="9" t="s">
        <v>1247</v>
      </c>
      <c r="K446" s="9" t="s">
        <v>10</v>
      </c>
      <c r="L446" s="9" t="s">
        <v>876</v>
      </c>
      <c r="M446" s="9" t="s">
        <v>877</v>
      </c>
      <c r="N446" s="9">
        <f>LEN(O446) - LEN(SUBSTITUTE(O446, ";", ""))+1</f>
        <v>5</v>
      </c>
      <c r="O446" s="9" t="s">
        <v>2000</v>
      </c>
      <c r="P446" s="9" t="s">
        <v>165</v>
      </c>
      <c r="Q446" s="9" t="s">
        <v>2104</v>
      </c>
      <c r="R446" s="9" t="s">
        <v>1302</v>
      </c>
      <c r="S446" s="9" t="s">
        <v>1826</v>
      </c>
      <c r="W446" s="23"/>
    </row>
    <row r="447" spans="1:23" ht="51.5" customHeight="1" x14ac:dyDescent="0.35">
      <c r="A447" s="9" t="s">
        <v>1769</v>
      </c>
      <c r="B447" s="9" t="s">
        <v>707</v>
      </c>
      <c r="C447" s="9" t="s">
        <v>847</v>
      </c>
      <c r="D447" s="9" t="str">
        <f>B447&amp;" - "&amp;C447</f>
        <v>Output - Emissions</v>
      </c>
      <c r="F447" s="9" t="s">
        <v>8</v>
      </c>
      <c r="G447" s="9" t="s">
        <v>1088</v>
      </c>
      <c r="H447" s="9" t="str">
        <f>IF(E447="x","Economic - "&amp;G447,"Environmental - "&amp;G447)</f>
        <v>Environmental - Pollution</v>
      </c>
      <c r="I447" s="12" t="s">
        <v>878</v>
      </c>
      <c r="J447" s="9" t="s">
        <v>879</v>
      </c>
      <c r="K447" s="9" t="s">
        <v>10</v>
      </c>
      <c r="L447" s="9" t="s">
        <v>876</v>
      </c>
      <c r="M447" s="9" t="s">
        <v>468</v>
      </c>
      <c r="N447" s="9">
        <f>LEN(O447) - LEN(SUBSTITUTE(O447, ";", ""))+1</f>
        <v>1</v>
      </c>
      <c r="O447" s="9" t="s">
        <v>38</v>
      </c>
      <c r="P447" s="9" t="s">
        <v>39</v>
      </c>
      <c r="Q447" s="9" t="s">
        <v>40</v>
      </c>
      <c r="R447" s="9" t="s">
        <v>17</v>
      </c>
      <c r="S447" s="9" t="s">
        <v>1825</v>
      </c>
      <c r="W447" s="23"/>
    </row>
    <row r="448" spans="1:23" ht="51.5" customHeight="1" x14ac:dyDescent="0.35">
      <c r="A448" s="9" t="s">
        <v>1770</v>
      </c>
      <c r="B448" s="9" t="s">
        <v>707</v>
      </c>
      <c r="C448" s="9" t="s">
        <v>847</v>
      </c>
      <c r="D448" s="9" t="str">
        <f>B448&amp;" - "&amp;C448</f>
        <v>Output - Emissions</v>
      </c>
      <c r="F448" s="9" t="s">
        <v>8</v>
      </c>
      <c r="G448" s="9" t="s">
        <v>1088</v>
      </c>
      <c r="H448" s="9" t="str">
        <f>IF(E448="x","Economic - "&amp;G448,"Environmental - "&amp;G448)</f>
        <v>Environmental - Pollution</v>
      </c>
      <c r="I448" s="12" t="s">
        <v>880</v>
      </c>
      <c r="J448" s="9" t="s">
        <v>881</v>
      </c>
      <c r="K448" s="9" t="s">
        <v>10</v>
      </c>
      <c r="L448" s="9" t="s">
        <v>882</v>
      </c>
      <c r="M448" s="9" t="s">
        <v>468</v>
      </c>
      <c r="N448" s="9">
        <f>LEN(O448) - LEN(SUBSTITUTE(O448, ";", ""))+1</f>
        <v>2</v>
      </c>
      <c r="O448" s="9" t="s">
        <v>2045</v>
      </c>
      <c r="P448" s="9" t="s">
        <v>74</v>
      </c>
      <c r="Q448" s="9" t="s">
        <v>1293</v>
      </c>
      <c r="R448" s="9" t="s">
        <v>17</v>
      </c>
      <c r="S448" s="9" t="s">
        <v>1827</v>
      </c>
      <c r="W448" s="23"/>
    </row>
    <row r="449" spans="1:23" ht="51.5" customHeight="1" x14ac:dyDescent="0.35">
      <c r="A449" s="9" t="s">
        <v>1771</v>
      </c>
      <c r="B449" s="9" t="s">
        <v>707</v>
      </c>
      <c r="C449" s="9" t="s">
        <v>847</v>
      </c>
      <c r="D449" s="9" t="str">
        <f>B449&amp;" - "&amp;C449</f>
        <v>Output - Emissions</v>
      </c>
      <c r="F449" s="9" t="s">
        <v>8</v>
      </c>
      <c r="G449" s="9" t="s">
        <v>1088</v>
      </c>
      <c r="H449" s="9" t="str">
        <f>IF(E449="x","Economic - "&amp;G449,"Environmental - "&amp;G449)</f>
        <v>Environmental - Pollution</v>
      </c>
      <c r="I449" s="12" t="s">
        <v>883</v>
      </c>
      <c r="J449" s="9" t="s">
        <v>884</v>
      </c>
      <c r="K449" s="9" t="s">
        <v>10</v>
      </c>
      <c r="L449" s="9" t="s">
        <v>1267</v>
      </c>
      <c r="M449" s="9" t="s">
        <v>2149</v>
      </c>
      <c r="N449" s="9">
        <f>LEN(O449) - LEN(SUBSTITUTE(O449, ";", ""))+1</f>
        <v>1</v>
      </c>
      <c r="O449" s="9" t="s">
        <v>38</v>
      </c>
      <c r="P449" s="9" t="s">
        <v>39</v>
      </c>
      <c r="Q449" s="9" t="s">
        <v>40</v>
      </c>
      <c r="R449" s="9" t="s">
        <v>17</v>
      </c>
      <c r="S449" s="9" t="s">
        <v>1825</v>
      </c>
      <c r="W449" s="23"/>
    </row>
    <row r="450" spans="1:23" ht="51.5" customHeight="1" x14ac:dyDescent="0.35">
      <c r="A450" s="9" t="s">
        <v>1772</v>
      </c>
      <c r="B450" s="9" t="s">
        <v>707</v>
      </c>
      <c r="C450" s="9" t="s">
        <v>847</v>
      </c>
      <c r="D450" s="9" t="str">
        <f>B450&amp;" - "&amp;C450</f>
        <v>Output - Emissions</v>
      </c>
      <c r="F450" s="9" t="s">
        <v>8</v>
      </c>
      <c r="G450" s="9" t="s">
        <v>1088</v>
      </c>
      <c r="H450" s="9" t="str">
        <f>IF(E450="x","Economic - "&amp;G450,"Environmental - "&amp;G450)</f>
        <v>Environmental - Pollution</v>
      </c>
      <c r="I450" s="12" t="s">
        <v>885</v>
      </c>
      <c r="J450" s="9" t="s">
        <v>886</v>
      </c>
      <c r="K450" s="9" t="s">
        <v>10</v>
      </c>
      <c r="L450" s="9" t="s">
        <v>11</v>
      </c>
      <c r="M450" s="9" t="s">
        <v>468</v>
      </c>
      <c r="N450" s="9">
        <f>LEN(O450) - LEN(SUBSTITUTE(O450, ";", ""))+1</f>
        <v>1</v>
      </c>
      <c r="O450" s="9" t="s">
        <v>836</v>
      </c>
      <c r="P450" s="9" t="s">
        <v>84</v>
      </c>
      <c r="Q450" s="9" t="s">
        <v>117</v>
      </c>
      <c r="R450" s="9" t="s">
        <v>17</v>
      </c>
      <c r="S450" s="9" t="s">
        <v>1828</v>
      </c>
      <c r="W450" s="23"/>
    </row>
    <row r="451" spans="1:23" ht="51.5" customHeight="1" x14ac:dyDescent="0.35">
      <c r="A451" s="9" t="s">
        <v>1773</v>
      </c>
      <c r="B451" s="9" t="s">
        <v>707</v>
      </c>
      <c r="C451" s="9" t="s">
        <v>847</v>
      </c>
      <c r="D451" s="9" t="str">
        <f>B451&amp;" - "&amp;C451</f>
        <v>Output - Emissions</v>
      </c>
      <c r="F451" s="9" t="s">
        <v>8</v>
      </c>
      <c r="G451" s="9" t="s">
        <v>1088</v>
      </c>
      <c r="H451" s="9" t="str">
        <f>IF(E451="x","Economic - "&amp;G451,"Environmental - "&amp;G451)</f>
        <v>Environmental - Pollution</v>
      </c>
      <c r="I451" s="12" t="s">
        <v>887</v>
      </c>
      <c r="J451" s="9" t="s">
        <v>1108</v>
      </c>
      <c r="K451" s="9" t="s">
        <v>10</v>
      </c>
      <c r="L451" s="9" t="s">
        <v>11</v>
      </c>
      <c r="M451" s="9" t="s">
        <v>468</v>
      </c>
      <c r="N451" s="9">
        <f>LEN(O451) - LEN(SUBSTITUTE(O451, ";", ""))+1</f>
        <v>3</v>
      </c>
      <c r="O451" s="9" t="s">
        <v>1999</v>
      </c>
      <c r="P451" s="9" t="s">
        <v>74</v>
      </c>
      <c r="Q451" s="9" t="s">
        <v>2099</v>
      </c>
      <c r="R451" s="9" t="s">
        <v>17</v>
      </c>
      <c r="S451" s="9" t="s">
        <v>1826</v>
      </c>
      <c r="W451" s="23"/>
    </row>
    <row r="452" spans="1:23" ht="51.5" customHeight="1" x14ac:dyDescent="0.35">
      <c r="A452" s="9" t="s">
        <v>1774</v>
      </c>
      <c r="B452" s="9" t="s">
        <v>707</v>
      </c>
      <c r="C452" s="9" t="s">
        <v>847</v>
      </c>
      <c r="D452" s="9" t="str">
        <f>B452&amp;" - "&amp;C452</f>
        <v>Output - Emissions</v>
      </c>
      <c r="F452" s="9" t="s">
        <v>8</v>
      </c>
      <c r="G452" s="9" t="s">
        <v>1088</v>
      </c>
      <c r="H452" s="9" t="str">
        <f>IF(E452="x","Economic - "&amp;G452,"Environmental - "&amp;G452)</f>
        <v>Environmental - Pollution</v>
      </c>
      <c r="I452" s="12" t="s">
        <v>1867</v>
      </c>
      <c r="J452" s="9" t="s">
        <v>1275</v>
      </c>
      <c r="K452" s="9" t="s">
        <v>10</v>
      </c>
      <c r="L452" s="9" t="s">
        <v>1278</v>
      </c>
      <c r="M452" s="9" t="s">
        <v>468</v>
      </c>
      <c r="N452" s="9">
        <f>LEN(O452) - LEN(SUBSTITUTE(O452, ";", ""))+1</f>
        <v>2</v>
      </c>
      <c r="O452" s="9" t="s">
        <v>1064</v>
      </c>
      <c r="P452" s="9" t="s">
        <v>39</v>
      </c>
      <c r="Q452" s="9" t="s">
        <v>2112</v>
      </c>
      <c r="R452" s="9" t="s">
        <v>17</v>
      </c>
      <c r="S452" s="9" t="s">
        <v>1830</v>
      </c>
      <c r="W452" s="23"/>
    </row>
    <row r="453" spans="1:23" ht="51.5" customHeight="1" x14ac:dyDescent="0.35">
      <c r="A453" s="9" t="s">
        <v>1775</v>
      </c>
      <c r="B453" s="9" t="s">
        <v>707</v>
      </c>
      <c r="C453" s="9" t="s">
        <v>847</v>
      </c>
      <c r="D453" s="9" t="str">
        <f>B453&amp;" - "&amp;C453</f>
        <v>Output - Emissions</v>
      </c>
      <c r="F453" s="9" t="s">
        <v>8</v>
      </c>
      <c r="G453" s="9" t="s">
        <v>1088</v>
      </c>
      <c r="H453" s="9" t="str">
        <f>IF(E453="x","Economic - "&amp;G453,"Environmental - "&amp;G453)</f>
        <v>Environmental - Pollution</v>
      </c>
      <c r="I453" s="12" t="s">
        <v>841</v>
      </c>
      <c r="J453" s="9" t="s">
        <v>888</v>
      </c>
      <c r="K453" s="9" t="s">
        <v>10</v>
      </c>
      <c r="L453" s="9" t="s">
        <v>11</v>
      </c>
      <c r="M453" s="9" t="s">
        <v>468</v>
      </c>
      <c r="N453" s="9">
        <f>LEN(O453) - LEN(SUBSTITUTE(O453, ";", ""))+1</f>
        <v>1</v>
      </c>
      <c r="O453" s="9" t="s">
        <v>836</v>
      </c>
      <c r="P453" s="9" t="s">
        <v>84</v>
      </c>
      <c r="Q453" s="9" t="s">
        <v>117</v>
      </c>
      <c r="R453" s="9" t="s">
        <v>17</v>
      </c>
      <c r="S453" s="9" t="s">
        <v>1828</v>
      </c>
      <c r="W453" s="23"/>
    </row>
    <row r="454" spans="1:23" ht="51.5" customHeight="1" x14ac:dyDescent="0.35">
      <c r="A454" s="9" t="s">
        <v>1776</v>
      </c>
      <c r="B454" s="9" t="s">
        <v>707</v>
      </c>
      <c r="C454" s="9" t="s">
        <v>847</v>
      </c>
      <c r="D454" s="9" t="str">
        <f>B454&amp;" - "&amp;C454</f>
        <v>Output - Emissions</v>
      </c>
      <c r="F454" s="9" t="s">
        <v>8</v>
      </c>
      <c r="G454" s="9" t="s">
        <v>1088</v>
      </c>
      <c r="H454" s="9" t="str">
        <f>IF(E454="x","Economic - "&amp;G454,"Environmental - "&amp;G454)</f>
        <v>Environmental - Pollution</v>
      </c>
      <c r="I454" s="12" t="s">
        <v>889</v>
      </c>
      <c r="J454" s="9" t="s">
        <v>890</v>
      </c>
      <c r="K454" s="9" t="s">
        <v>10</v>
      </c>
      <c r="L454" s="9" t="s">
        <v>891</v>
      </c>
      <c r="M454" s="9" t="s">
        <v>468</v>
      </c>
      <c r="N454" s="9">
        <f>LEN(O454) - LEN(SUBSTITUTE(O454, ";", ""))+1</f>
        <v>1</v>
      </c>
      <c r="O454" s="9" t="s">
        <v>38</v>
      </c>
      <c r="P454" s="9" t="s">
        <v>39</v>
      </c>
      <c r="Q454" s="9" t="s">
        <v>40</v>
      </c>
      <c r="R454" s="9" t="s">
        <v>17</v>
      </c>
      <c r="S454" s="9" t="s">
        <v>1825</v>
      </c>
      <c r="W454" s="23"/>
    </row>
    <row r="455" spans="1:23" ht="51.5" customHeight="1" x14ac:dyDescent="0.35">
      <c r="A455" s="9" t="s">
        <v>1777</v>
      </c>
      <c r="B455" s="9" t="s">
        <v>707</v>
      </c>
      <c r="C455" s="9" t="s">
        <v>847</v>
      </c>
      <c r="D455" s="9" t="str">
        <f>B455&amp;" - "&amp;C455</f>
        <v>Output - Emissions</v>
      </c>
      <c r="F455" s="9" t="s">
        <v>8</v>
      </c>
      <c r="G455" s="9" t="s">
        <v>1088</v>
      </c>
      <c r="H455" s="9" t="str">
        <f>IF(E455="x","Economic - "&amp;G455,"Environmental - "&amp;G455)</f>
        <v>Environmental - Pollution</v>
      </c>
      <c r="I455" s="12" t="s">
        <v>1857</v>
      </c>
      <c r="J455" s="9" t="s">
        <v>892</v>
      </c>
      <c r="K455" s="9" t="s">
        <v>10</v>
      </c>
      <c r="L455" s="9" t="s">
        <v>11</v>
      </c>
      <c r="M455" s="9" t="s">
        <v>2149</v>
      </c>
      <c r="N455" s="9">
        <f>LEN(O455) - LEN(SUBSTITUTE(O455, ";", ""))+1</f>
        <v>4</v>
      </c>
      <c r="O455" s="9" t="s">
        <v>2046</v>
      </c>
      <c r="P455" s="9" t="s">
        <v>65</v>
      </c>
      <c r="Q455" s="9" t="s">
        <v>2141</v>
      </c>
      <c r="R455" s="9" t="s">
        <v>17</v>
      </c>
      <c r="S455" s="9" t="s">
        <v>1825</v>
      </c>
      <c r="W455" s="23"/>
    </row>
    <row r="456" spans="1:23" ht="51.5" customHeight="1" x14ac:dyDescent="0.35">
      <c r="A456" s="9" t="s">
        <v>1778</v>
      </c>
      <c r="B456" s="9" t="s">
        <v>707</v>
      </c>
      <c r="C456" s="9" t="s">
        <v>847</v>
      </c>
      <c r="D456" s="9" t="str">
        <f>B456&amp;" - "&amp;C456</f>
        <v>Output - Emissions</v>
      </c>
      <c r="F456" s="9" t="s">
        <v>8</v>
      </c>
      <c r="G456" s="9" t="s">
        <v>1088</v>
      </c>
      <c r="H456" s="9" t="str">
        <f>IF(E456="x","Economic - "&amp;G456,"Environmental - "&amp;G456)</f>
        <v>Environmental - Pollution</v>
      </c>
      <c r="I456" s="12" t="s">
        <v>893</v>
      </c>
      <c r="J456" s="9" t="s">
        <v>894</v>
      </c>
      <c r="K456" s="9" t="s">
        <v>10</v>
      </c>
      <c r="L456" s="9" t="s">
        <v>1278</v>
      </c>
      <c r="M456" s="9" t="s">
        <v>468</v>
      </c>
      <c r="N456" s="9">
        <f>LEN(O456) - LEN(SUBSTITUTE(O456, ";", ""))+1</f>
        <v>1</v>
      </c>
      <c r="O456" s="9" t="s">
        <v>895</v>
      </c>
      <c r="P456" s="9" t="s">
        <v>84</v>
      </c>
      <c r="Q456" s="9" t="s">
        <v>117</v>
      </c>
      <c r="R456" s="9" t="s">
        <v>118</v>
      </c>
      <c r="S456" s="9" t="s">
        <v>17</v>
      </c>
      <c r="W456" s="23"/>
    </row>
    <row r="457" spans="1:23" ht="51.5" customHeight="1" x14ac:dyDescent="0.35">
      <c r="A457" s="9" t="s">
        <v>1779</v>
      </c>
      <c r="B457" s="9" t="s">
        <v>707</v>
      </c>
      <c r="C457" s="9" t="s">
        <v>847</v>
      </c>
      <c r="D457" s="9" t="str">
        <f>B457&amp;" - "&amp;C457</f>
        <v>Output - Emissions</v>
      </c>
      <c r="F457" s="9" t="s">
        <v>8</v>
      </c>
      <c r="G457" s="9" t="s">
        <v>1088</v>
      </c>
      <c r="H457" s="9" t="str">
        <f>IF(E457="x","Economic - "&amp;G457,"Environmental - "&amp;G457)</f>
        <v>Environmental - Pollution</v>
      </c>
      <c r="I457" s="12" t="s">
        <v>896</v>
      </c>
      <c r="J457" s="9" t="s">
        <v>1112</v>
      </c>
      <c r="K457" s="9" t="s">
        <v>10</v>
      </c>
      <c r="L457" s="9" t="s">
        <v>220</v>
      </c>
      <c r="M457" s="9" t="s">
        <v>468</v>
      </c>
      <c r="N457" s="9">
        <f>LEN(O457) - LEN(SUBSTITUTE(O457, ";", ""))+1</f>
        <v>4</v>
      </c>
      <c r="O457" s="9" t="s">
        <v>2015</v>
      </c>
      <c r="P457" s="9" t="s">
        <v>165</v>
      </c>
      <c r="Q457" s="9" t="s">
        <v>1293</v>
      </c>
      <c r="R457" s="9" t="s">
        <v>17</v>
      </c>
      <c r="S457" s="9" t="s">
        <v>1823</v>
      </c>
      <c r="W457" s="23"/>
    </row>
    <row r="458" spans="1:23" ht="51.5" customHeight="1" x14ac:dyDescent="0.35">
      <c r="A458" s="9" t="s">
        <v>1780</v>
      </c>
      <c r="B458" s="9" t="s">
        <v>707</v>
      </c>
      <c r="C458" s="9" t="s">
        <v>847</v>
      </c>
      <c r="D458" s="9" t="str">
        <f>B458&amp;" - "&amp;C458</f>
        <v>Output - Emissions</v>
      </c>
      <c r="F458" s="9" t="s">
        <v>8</v>
      </c>
      <c r="G458" s="9" t="s">
        <v>1088</v>
      </c>
      <c r="H458" s="9" t="str">
        <f>IF(E458="x","Economic - "&amp;G458,"Environmental - "&amp;G458)</f>
        <v>Environmental - Pollution</v>
      </c>
      <c r="I458" s="12" t="s">
        <v>897</v>
      </c>
      <c r="J458" s="9" t="s">
        <v>2162</v>
      </c>
      <c r="K458" s="9" t="s">
        <v>10</v>
      </c>
      <c r="L458" s="9" t="s">
        <v>898</v>
      </c>
      <c r="M458" s="9" t="s">
        <v>468</v>
      </c>
      <c r="N458" s="9">
        <f>LEN(O458) - LEN(SUBSTITUTE(O458, ";", ""))+1</f>
        <v>6</v>
      </c>
      <c r="O458" s="9" t="s">
        <v>1998</v>
      </c>
      <c r="P458" s="9" t="s">
        <v>13</v>
      </c>
      <c r="Q458" s="9" t="s">
        <v>2142</v>
      </c>
      <c r="R458" s="9" t="s">
        <v>2143</v>
      </c>
      <c r="S458" s="9" t="s">
        <v>1827</v>
      </c>
      <c r="W458" s="23"/>
    </row>
    <row r="459" spans="1:23" ht="51.5" customHeight="1" x14ac:dyDescent="0.35">
      <c r="A459" s="9" t="s">
        <v>1781</v>
      </c>
      <c r="B459" s="9" t="s">
        <v>707</v>
      </c>
      <c r="C459" s="9" t="s">
        <v>847</v>
      </c>
      <c r="D459" s="9" t="str">
        <f>B459&amp;" - "&amp;C459</f>
        <v>Output - Emissions</v>
      </c>
      <c r="F459" s="9" t="s">
        <v>8</v>
      </c>
      <c r="G459" s="9" t="s">
        <v>1088</v>
      </c>
      <c r="H459" s="9" t="str">
        <f>IF(E459="x","Economic - "&amp;G459,"Environmental - "&amp;G459)</f>
        <v>Environmental - Pollution</v>
      </c>
      <c r="I459" s="12" t="s">
        <v>899</v>
      </c>
      <c r="J459" s="9" t="s">
        <v>900</v>
      </c>
      <c r="K459" s="9" t="s">
        <v>10</v>
      </c>
      <c r="L459" s="9" t="s">
        <v>898</v>
      </c>
      <c r="M459" s="9" t="s">
        <v>468</v>
      </c>
      <c r="N459" s="9">
        <f>LEN(O459) - LEN(SUBSTITUTE(O459, ";", ""))+1</f>
        <v>2</v>
      </c>
      <c r="O459" s="9" t="s">
        <v>1065</v>
      </c>
      <c r="P459" s="9" t="s">
        <v>65</v>
      </c>
      <c r="Q459" s="9" t="s">
        <v>901</v>
      </c>
      <c r="R459" s="9" t="s">
        <v>1284</v>
      </c>
      <c r="S459" s="9" t="s">
        <v>1824</v>
      </c>
      <c r="W459" s="23"/>
    </row>
    <row r="460" spans="1:23" ht="51.5" customHeight="1" x14ac:dyDescent="0.35">
      <c r="A460" s="9" t="s">
        <v>1782</v>
      </c>
      <c r="B460" s="9" t="s">
        <v>707</v>
      </c>
      <c r="C460" s="9" t="s">
        <v>847</v>
      </c>
      <c r="D460" s="9" t="str">
        <f>B460&amp;" - "&amp;C460</f>
        <v>Output - Emissions</v>
      </c>
      <c r="F460" s="9" t="s">
        <v>8</v>
      </c>
      <c r="G460" s="9" t="s">
        <v>1088</v>
      </c>
      <c r="H460" s="9" t="str">
        <f>IF(E460="x","Economic - "&amp;G460,"Environmental - "&amp;G460)</f>
        <v>Environmental - Pollution</v>
      </c>
      <c r="I460" s="12" t="s">
        <v>902</v>
      </c>
      <c r="J460" s="9" t="s">
        <v>903</v>
      </c>
      <c r="K460" s="9" t="s">
        <v>10</v>
      </c>
      <c r="L460" s="9" t="s">
        <v>898</v>
      </c>
      <c r="M460" s="9" t="s">
        <v>468</v>
      </c>
      <c r="N460" s="9">
        <f>LEN(O460) - LEN(SUBSTITUTE(O460, ";", ""))+1</f>
        <v>1</v>
      </c>
      <c r="O460" s="9" t="s">
        <v>271</v>
      </c>
      <c r="P460" s="9" t="s">
        <v>39</v>
      </c>
      <c r="Q460" s="9" t="s">
        <v>1312</v>
      </c>
      <c r="R460" s="9" t="s">
        <v>17</v>
      </c>
      <c r="S460" s="9" t="s">
        <v>1821</v>
      </c>
      <c r="W460" s="23"/>
    </row>
    <row r="461" spans="1:23" ht="97" customHeight="1" x14ac:dyDescent="0.35">
      <c r="A461" s="9" t="s">
        <v>1783</v>
      </c>
      <c r="B461" s="9" t="s">
        <v>904</v>
      </c>
      <c r="C461" s="9" t="s">
        <v>905</v>
      </c>
      <c r="D461" s="9" t="str">
        <f>B461&amp;" - "&amp;C461</f>
        <v>Supply &amp; Delivery - Supply</v>
      </c>
      <c r="E461" s="9" t="s">
        <v>8</v>
      </c>
      <c r="G461" s="9" t="s">
        <v>1090</v>
      </c>
      <c r="H461" s="9" t="str">
        <f>IF(E461="x","Economic - "&amp;G461,"Environmental - "&amp;G461)</f>
        <v>Economic - Other</v>
      </c>
      <c r="I461" s="12" t="s">
        <v>906</v>
      </c>
      <c r="J461" s="9" t="s">
        <v>907</v>
      </c>
      <c r="K461" s="9" t="s">
        <v>10</v>
      </c>
      <c r="L461" s="9" t="s">
        <v>57</v>
      </c>
      <c r="M461" s="9" t="s">
        <v>468</v>
      </c>
      <c r="N461" s="9">
        <f>LEN(O461) - LEN(SUBSTITUTE(O461, ";", ""))+1</f>
        <v>2</v>
      </c>
      <c r="O461" s="9" t="s">
        <v>393</v>
      </c>
      <c r="P461" s="9" t="s">
        <v>74</v>
      </c>
      <c r="Q461" s="9" t="s">
        <v>2102</v>
      </c>
      <c r="R461" s="9" t="s">
        <v>17</v>
      </c>
      <c r="S461" s="9" t="s">
        <v>1830</v>
      </c>
      <c r="W461" s="23"/>
    </row>
    <row r="462" spans="1:23" ht="97.5" customHeight="1" x14ac:dyDescent="0.35">
      <c r="A462" s="9" t="s">
        <v>1784</v>
      </c>
      <c r="B462" s="9" t="s">
        <v>904</v>
      </c>
      <c r="C462" s="9" t="s">
        <v>905</v>
      </c>
      <c r="D462" s="9" t="str">
        <f>B462&amp;" - "&amp;C462</f>
        <v>Supply &amp; Delivery - Supply</v>
      </c>
      <c r="F462" s="9" t="s">
        <v>8</v>
      </c>
      <c r="G462" s="9" t="s">
        <v>1090</v>
      </c>
      <c r="H462" s="9" t="str">
        <f>IF(E462="x","Economic - "&amp;G462,"Environmental - "&amp;G462)</f>
        <v>Environmental - Other</v>
      </c>
      <c r="I462" s="12" t="s">
        <v>908</v>
      </c>
      <c r="J462" s="9" t="s">
        <v>909</v>
      </c>
      <c r="K462" s="9" t="s">
        <v>342</v>
      </c>
      <c r="L462" s="9" t="s">
        <v>343</v>
      </c>
      <c r="M462" s="9" t="s">
        <v>468</v>
      </c>
      <c r="N462" s="9">
        <f>LEN(O462) - LEN(SUBSTITUTE(O462, ";", ""))+1</f>
        <v>2</v>
      </c>
      <c r="O462" s="9" t="s">
        <v>1914</v>
      </c>
      <c r="P462" s="9" t="s">
        <v>39</v>
      </c>
      <c r="Q462" s="9" t="s">
        <v>1310</v>
      </c>
      <c r="R462" s="9" t="s">
        <v>17</v>
      </c>
      <c r="S462" s="9" t="s">
        <v>17</v>
      </c>
      <c r="W462" s="23"/>
    </row>
    <row r="463" spans="1:23" ht="101.5" x14ac:dyDescent="0.35">
      <c r="A463" s="9" t="s">
        <v>2080</v>
      </c>
      <c r="B463" s="9" t="s">
        <v>904</v>
      </c>
      <c r="C463" s="9" t="s">
        <v>905</v>
      </c>
      <c r="D463" s="9" t="str">
        <f>B463&amp;" - "&amp;C463</f>
        <v>Supply &amp; Delivery - Supply</v>
      </c>
      <c r="E463" s="9" t="s">
        <v>8</v>
      </c>
      <c r="G463" s="9" t="s">
        <v>1090</v>
      </c>
      <c r="H463" s="9" t="str">
        <f>IF(E463="x","Economic - "&amp;G463,"Environmental - "&amp;G463)</f>
        <v>Economic - Other</v>
      </c>
      <c r="I463" s="12" t="s">
        <v>910</v>
      </c>
      <c r="J463" s="9" t="s">
        <v>1148</v>
      </c>
      <c r="K463" s="9" t="s">
        <v>10</v>
      </c>
      <c r="L463" s="9" t="s">
        <v>16</v>
      </c>
      <c r="M463" s="9" t="s">
        <v>468</v>
      </c>
      <c r="N463" s="9">
        <f>LEN(O463) - LEN(SUBSTITUTE(O463, ";", ""))+1</f>
        <v>2</v>
      </c>
      <c r="O463" s="9" t="s">
        <v>911</v>
      </c>
      <c r="P463" s="9" t="s">
        <v>39</v>
      </c>
      <c r="Q463" s="9" t="s">
        <v>1294</v>
      </c>
      <c r="R463" s="9" t="s">
        <v>17</v>
      </c>
      <c r="S463" s="9" t="s">
        <v>17</v>
      </c>
      <c r="W463" s="23"/>
    </row>
    <row r="464" spans="1:23" ht="246.5" x14ac:dyDescent="0.35">
      <c r="A464" s="9" t="s">
        <v>1785</v>
      </c>
      <c r="B464" s="9" t="s">
        <v>904</v>
      </c>
      <c r="C464" s="9" t="s">
        <v>905</v>
      </c>
      <c r="D464" s="9" t="str">
        <f>B464&amp;" - "&amp;C464</f>
        <v>Supply &amp; Delivery - Supply</v>
      </c>
      <c r="E464" s="9" t="s">
        <v>8</v>
      </c>
      <c r="G464" s="9" t="s">
        <v>1086</v>
      </c>
      <c r="H464" s="9" t="str">
        <f>IF(E464="x","Economic - "&amp;G464,"Environmental - "&amp;G464)</f>
        <v>Economic - Cost</v>
      </c>
      <c r="I464" s="12" t="s">
        <v>1083</v>
      </c>
      <c r="J464" s="9" t="s">
        <v>1082</v>
      </c>
      <c r="K464" s="9" t="s">
        <v>10</v>
      </c>
      <c r="L464" s="9" t="s">
        <v>16</v>
      </c>
      <c r="M464" s="9" t="s">
        <v>912</v>
      </c>
      <c r="N464" s="9">
        <f>LEN(O464) - LEN(SUBSTITUTE(O464, ";", ""))+1</f>
        <v>5</v>
      </c>
      <c r="O464" s="9" t="s">
        <v>1946</v>
      </c>
      <c r="P464" s="9" t="s">
        <v>74</v>
      </c>
      <c r="Q464" s="9" t="s">
        <v>2144</v>
      </c>
      <c r="R464" s="9" t="s">
        <v>1334</v>
      </c>
      <c r="S464" s="9" t="s">
        <v>1822</v>
      </c>
      <c r="W464" s="23"/>
    </row>
    <row r="465" spans="1:23" ht="232" x14ac:dyDescent="0.35">
      <c r="A465" s="9" t="s">
        <v>1786</v>
      </c>
      <c r="B465" s="9" t="s">
        <v>904</v>
      </c>
      <c r="C465" s="9" t="s">
        <v>905</v>
      </c>
      <c r="D465" s="9" t="str">
        <f>B465&amp;" - "&amp;C465</f>
        <v>Supply &amp; Delivery - Supply</v>
      </c>
      <c r="E465" s="9" t="s">
        <v>8</v>
      </c>
      <c r="G465" s="9" t="s">
        <v>1086</v>
      </c>
      <c r="H465" s="9" t="str">
        <f>IF(E465="x","Economic - "&amp;G465,"Environmental - "&amp;G465)</f>
        <v>Economic - Cost</v>
      </c>
      <c r="I465" s="12" t="s">
        <v>913</v>
      </c>
      <c r="J465" s="9" t="s">
        <v>914</v>
      </c>
      <c r="K465" s="9" t="s">
        <v>10</v>
      </c>
      <c r="L465" s="9" t="s">
        <v>19</v>
      </c>
      <c r="M465" s="9" t="s">
        <v>468</v>
      </c>
      <c r="N465" s="9">
        <f>LEN(O465) - LEN(SUBSTITUTE(O465, ";", ""))+1</f>
        <v>1</v>
      </c>
      <c r="O465" s="9" t="s">
        <v>38</v>
      </c>
      <c r="P465" s="9" t="s">
        <v>39</v>
      </c>
      <c r="Q465" s="9" t="s">
        <v>40</v>
      </c>
      <c r="R465" s="9" t="s">
        <v>17</v>
      </c>
      <c r="S465" s="9" t="s">
        <v>1825</v>
      </c>
      <c r="W465" s="23"/>
    </row>
    <row r="466" spans="1:23" ht="101.5" x14ac:dyDescent="0.35">
      <c r="A466" s="9" t="s">
        <v>2081</v>
      </c>
      <c r="B466" s="9" t="s">
        <v>904</v>
      </c>
      <c r="C466" s="9" t="s">
        <v>905</v>
      </c>
      <c r="D466" s="9" t="str">
        <f>B466&amp;" - "&amp;C466</f>
        <v>Supply &amp; Delivery - Supply</v>
      </c>
      <c r="F466" s="9" t="s">
        <v>8</v>
      </c>
      <c r="G466" s="9" t="s">
        <v>1090</v>
      </c>
      <c r="H466" s="9" t="str">
        <f>IF(E466="x","Economic - "&amp;G466,"Environmental - "&amp;G466)</f>
        <v>Environmental - Other</v>
      </c>
      <c r="I466" s="12" t="s">
        <v>915</v>
      </c>
      <c r="J466" s="9" t="s">
        <v>916</v>
      </c>
      <c r="K466" s="9" t="s">
        <v>10</v>
      </c>
      <c r="L466" s="9" t="s">
        <v>16</v>
      </c>
      <c r="M466" s="9" t="s">
        <v>468</v>
      </c>
      <c r="N466" s="9">
        <f>LEN(O466) - LEN(SUBSTITUTE(O466, ";", ""))+1</f>
        <v>1</v>
      </c>
      <c r="O466" s="9" t="s">
        <v>177</v>
      </c>
      <c r="P466" s="9" t="s">
        <v>74</v>
      </c>
      <c r="Q466" s="9" t="s">
        <v>17</v>
      </c>
      <c r="R466" s="9" t="s">
        <v>17</v>
      </c>
      <c r="S466" s="9" t="s">
        <v>17</v>
      </c>
      <c r="W466" s="23"/>
    </row>
    <row r="467" spans="1:23" ht="87" x14ac:dyDescent="0.35">
      <c r="A467" s="9" t="s">
        <v>1787</v>
      </c>
      <c r="B467" s="9" t="s">
        <v>904</v>
      </c>
      <c r="C467" s="9" t="s">
        <v>905</v>
      </c>
      <c r="D467" s="9" t="str">
        <f>B467&amp;" - "&amp;C467</f>
        <v>Supply &amp; Delivery - Supply</v>
      </c>
      <c r="F467" s="9" t="s">
        <v>8</v>
      </c>
      <c r="G467" s="9" t="s">
        <v>1090</v>
      </c>
      <c r="H467" s="9" t="str">
        <f>IF(E467="x","Economic - "&amp;G467,"Environmental - "&amp;G467)</f>
        <v>Environmental - Other</v>
      </c>
      <c r="I467" s="12" t="s">
        <v>917</v>
      </c>
      <c r="J467" s="9" t="s">
        <v>918</v>
      </c>
      <c r="K467" s="9" t="s">
        <v>10</v>
      </c>
      <c r="L467" s="9" t="s">
        <v>57</v>
      </c>
      <c r="M467" s="9" t="s">
        <v>468</v>
      </c>
      <c r="N467" s="9">
        <f>LEN(O467) - LEN(SUBSTITUTE(O467, ";", ""))+1</f>
        <v>1</v>
      </c>
      <c r="O467" s="9" t="s">
        <v>177</v>
      </c>
      <c r="P467" s="9" t="s">
        <v>74</v>
      </c>
      <c r="Q467" s="9" t="s">
        <v>17</v>
      </c>
      <c r="R467" s="9" t="s">
        <v>17</v>
      </c>
      <c r="S467" s="9" t="s">
        <v>17</v>
      </c>
      <c r="W467" s="23"/>
    </row>
    <row r="468" spans="1:23" ht="95.5" customHeight="1" x14ac:dyDescent="0.35">
      <c r="A468" s="9" t="s">
        <v>1788</v>
      </c>
      <c r="B468" s="9" t="s">
        <v>904</v>
      </c>
      <c r="C468" s="9" t="s">
        <v>905</v>
      </c>
      <c r="D468" s="9" t="str">
        <f>B468&amp;" - "&amp;C468</f>
        <v>Supply &amp; Delivery - Supply</v>
      </c>
      <c r="F468" s="9" t="s">
        <v>8</v>
      </c>
      <c r="G468" s="9" t="s">
        <v>1197</v>
      </c>
      <c r="H468" s="9" t="str">
        <f>IF(E468="x","Economic - "&amp;G468,"Environmental - "&amp;G468)</f>
        <v>Environmental - Resource Use &amp; Circular Economy</v>
      </c>
      <c r="I468" s="12" t="s">
        <v>919</v>
      </c>
      <c r="J468" s="9" t="s">
        <v>920</v>
      </c>
      <c r="K468" s="9" t="s">
        <v>10</v>
      </c>
      <c r="L468" s="9" t="s">
        <v>11</v>
      </c>
      <c r="M468" s="9" t="s">
        <v>468</v>
      </c>
      <c r="N468" s="9">
        <f>LEN(O468) - LEN(SUBSTITUTE(O468, ";", ""))+1</f>
        <v>1</v>
      </c>
      <c r="O468" s="9" t="s">
        <v>177</v>
      </c>
      <c r="P468" s="9" t="s">
        <v>74</v>
      </c>
      <c r="Q468" s="9" t="s">
        <v>17</v>
      </c>
      <c r="R468" s="9" t="s">
        <v>17</v>
      </c>
      <c r="S468" s="9" t="s">
        <v>17</v>
      </c>
      <c r="W468" s="23"/>
    </row>
    <row r="469" spans="1:23" ht="130.5" x14ac:dyDescent="0.35">
      <c r="A469" s="9" t="s">
        <v>1789</v>
      </c>
      <c r="B469" s="9" t="s">
        <v>904</v>
      </c>
      <c r="C469" s="9" t="s">
        <v>905</v>
      </c>
      <c r="D469" s="9" t="str">
        <f>B469&amp;" - "&amp;C469</f>
        <v>Supply &amp; Delivery - Supply</v>
      </c>
      <c r="F469" s="9" t="s">
        <v>8</v>
      </c>
      <c r="G469" s="9" t="s">
        <v>1197</v>
      </c>
      <c r="H469" s="9" t="str">
        <f>IF(E469="x","Economic - "&amp;G469,"Environmental - "&amp;G469)</f>
        <v>Environmental - Resource Use &amp; Circular Economy</v>
      </c>
      <c r="I469" s="12" t="s">
        <v>921</v>
      </c>
      <c r="J469" s="9" t="s">
        <v>922</v>
      </c>
      <c r="K469" s="9" t="s">
        <v>10</v>
      </c>
      <c r="L469" s="9" t="s">
        <v>11</v>
      </c>
      <c r="M469" s="9" t="s">
        <v>468</v>
      </c>
      <c r="N469" s="9">
        <f>LEN(O469) - LEN(SUBSTITUTE(O469, ";", ""))+1</f>
        <v>1</v>
      </c>
      <c r="O469" s="9" t="s">
        <v>177</v>
      </c>
      <c r="P469" s="9" t="s">
        <v>74</v>
      </c>
      <c r="Q469" s="9" t="s">
        <v>17</v>
      </c>
      <c r="R469" s="9" t="s">
        <v>17</v>
      </c>
      <c r="S469" s="9" t="s">
        <v>17</v>
      </c>
      <c r="W469" s="23"/>
    </row>
    <row r="470" spans="1:23" ht="130.5" x14ac:dyDescent="0.35">
      <c r="A470" s="9" t="s">
        <v>1790</v>
      </c>
      <c r="B470" s="9" t="s">
        <v>904</v>
      </c>
      <c r="C470" s="9" t="s">
        <v>905</v>
      </c>
      <c r="D470" s="9" t="str">
        <f>B470&amp;" - "&amp;C470</f>
        <v>Supply &amp; Delivery - Supply</v>
      </c>
      <c r="F470" s="9" t="s">
        <v>8</v>
      </c>
      <c r="G470" s="9" t="s">
        <v>1197</v>
      </c>
      <c r="H470" s="9" t="str">
        <f>IF(E470="x","Economic - "&amp;G470,"Environmental - "&amp;G470)</f>
        <v>Environmental - Resource Use &amp; Circular Economy</v>
      </c>
      <c r="I470" s="12" t="s">
        <v>923</v>
      </c>
      <c r="J470" s="9" t="s">
        <v>924</v>
      </c>
      <c r="K470" s="9" t="s">
        <v>10</v>
      </c>
      <c r="L470" s="9" t="s">
        <v>11</v>
      </c>
      <c r="M470" s="9" t="s">
        <v>468</v>
      </c>
      <c r="N470" s="9">
        <f>LEN(O470) - LEN(SUBSTITUTE(O470, ";", ""))+1</f>
        <v>1</v>
      </c>
      <c r="O470" s="9" t="s">
        <v>177</v>
      </c>
      <c r="P470" s="9" t="s">
        <v>74</v>
      </c>
      <c r="Q470" s="9" t="s">
        <v>17</v>
      </c>
      <c r="R470" s="9" t="s">
        <v>17</v>
      </c>
      <c r="S470" s="9" t="s">
        <v>17</v>
      </c>
      <c r="W470" s="23"/>
    </row>
    <row r="471" spans="1:23" ht="101.5" x14ac:dyDescent="0.35">
      <c r="A471" s="9" t="s">
        <v>1791</v>
      </c>
      <c r="B471" s="9" t="s">
        <v>904</v>
      </c>
      <c r="C471" s="9" t="s">
        <v>905</v>
      </c>
      <c r="D471" s="9" t="str">
        <f>B471&amp;" - "&amp;C471</f>
        <v>Supply &amp; Delivery - Supply</v>
      </c>
      <c r="F471" s="9" t="s">
        <v>8</v>
      </c>
      <c r="G471" s="9" t="s">
        <v>1197</v>
      </c>
      <c r="H471" s="9" t="str">
        <f>IF(E471="x","Economic - "&amp;G471,"Environmental - "&amp;G471)</f>
        <v>Environmental - Resource Use &amp; Circular Economy</v>
      </c>
      <c r="I471" s="12" t="s">
        <v>925</v>
      </c>
      <c r="J471" s="9" t="s">
        <v>926</v>
      </c>
      <c r="K471" s="9" t="s">
        <v>10</v>
      </c>
      <c r="L471" s="9" t="s">
        <v>11</v>
      </c>
      <c r="M471" s="9" t="s">
        <v>468</v>
      </c>
      <c r="N471" s="9">
        <f>LEN(O471) - LEN(SUBSTITUTE(O471, ";", ""))+1</f>
        <v>1</v>
      </c>
      <c r="O471" s="9" t="s">
        <v>177</v>
      </c>
      <c r="P471" s="9" t="s">
        <v>74</v>
      </c>
      <c r="Q471" s="9" t="s">
        <v>17</v>
      </c>
      <c r="R471" s="9" t="s">
        <v>17</v>
      </c>
      <c r="S471" s="9" t="s">
        <v>17</v>
      </c>
      <c r="W471" s="23"/>
    </row>
    <row r="472" spans="1:23" ht="156.5" customHeight="1" x14ac:dyDescent="0.35">
      <c r="A472" s="9" t="s">
        <v>1792</v>
      </c>
      <c r="B472" s="9" t="s">
        <v>904</v>
      </c>
      <c r="C472" s="9" t="s">
        <v>905</v>
      </c>
      <c r="D472" s="9" t="str">
        <f>B472&amp;" - "&amp;C472</f>
        <v>Supply &amp; Delivery - Supply</v>
      </c>
      <c r="F472" s="9" t="s">
        <v>8</v>
      </c>
      <c r="G472" s="9" t="s">
        <v>1197</v>
      </c>
      <c r="H472" s="9" t="str">
        <f>IF(E472="x","Economic - "&amp;G472,"Environmental - "&amp;G472)</f>
        <v>Environmental - Resource Use &amp; Circular Economy</v>
      </c>
      <c r="I472" s="12" t="s">
        <v>212</v>
      </c>
      <c r="J472" s="9" t="s">
        <v>2164</v>
      </c>
      <c r="K472" s="9" t="s">
        <v>10</v>
      </c>
      <c r="L472" s="9" t="s">
        <v>213</v>
      </c>
      <c r="M472" s="9" t="s">
        <v>468</v>
      </c>
      <c r="N472" s="9">
        <f>LEN(O472) - LEN(SUBSTITUTE(O472, ";", ""))+1</f>
        <v>2</v>
      </c>
      <c r="O472" s="9" t="s">
        <v>1068</v>
      </c>
      <c r="P472" s="9" t="s">
        <v>65</v>
      </c>
      <c r="Q472" s="9" t="s">
        <v>305</v>
      </c>
      <c r="R472" s="9" t="s">
        <v>1302</v>
      </c>
      <c r="S472" s="9" t="s">
        <v>1827</v>
      </c>
      <c r="W472" s="23"/>
    </row>
    <row r="473" spans="1:23" ht="174" x14ac:dyDescent="0.35">
      <c r="A473" s="9" t="s">
        <v>1793</v>
      </c>
      <c r="B473" s="9" t="s">
        <v>904</v>
      </c>
      <c r="C473" s="9" t="s">
        <v>905</v>
      </c>
      <c r="D473" s="9" t="str">
        <f>B473&amp;" - "&amp;C473</f>
        <v>Supply &amp; Delivery - Supply</v>
      </c>
      <c r="E473" s="9" t="s">
        <v>8</v>
      </c>
      <c r="G473" s="9" t="s">
        <v>1090</v>
      </c>
      <c r="H473" s="9" t="str">
        <f>IF(E473="x","Economic - "&amp;G473,"Environmental - "&amp;G473)</f>
        <v>Economic - Other</v>
      </c>
      <c r="I473" s="12" t="s">
        <v>214</v>
      </c>
      <c r="J473" s="9" t="s">
        <v>1127</v>
      </c>
      <c r="K473" s="9" t="s">
        <v>10</v>
      </c>
      <c r="L473" s="9" t="s">
        <v>16</v>
      </c>
      <c r="M473" s="9" t="s">
        <v>468</v>
      </c>
      <c r="N473" s="9">
        <f>LEN(O473) - LEN(SUBSTITUTE(O473, ";", ""))+1</f>
        <v>2</v>
      </c>
      <c r="O473" s="9" t="s">
        <v>180</v>
      </c>
      <c r="P473" s="9" t="s">
        <v>84</v>
      </c>
      <c r="Q473" s="9" t="s">
        <v>1309</v>
      </c>
      <c r="R473" s="9" t="s">
        <v>1292</v>
      </c>
      <c r="S473" s="9" t="s">
        <v>17</v>
      </c>
      <c r="W473" s="23"/>
    </row>
    <row r="474" spans="1:23" ht="203" x14ac:dyDescent="0.35">
      <c r="A474" s="9" t="s">
        <v>1794</v>
      </c>
      <c r="B474" s="9" t="s">
        <v>904</v>
      </c>
      <c r="C474" s="9" t="s">
        <v>927</v>
      </c>
      <c r="D474" s="9" t="str">
        <f>B474&amp;" - "&amp;C474</f>
        <v>Supply &amp; Delivery - Delivery</v>
      </c>
      <c r="E474" s="9" t="s">
        <v>8</v>
      </c>
      <c r="G474" s="9" t="s">
        <v>1086</v>
      </c>
      <c r="H474" s="9" t="str">
        <f>IF(E474="x","Economic - "&amp;G474,"Environmental - "&amp;G474)</f>
        <v>Economic - Cost</v>
      </c>
      <c r="I474" s="12" t="s">
        <v>928</v>
      </c>
      <c r="J474" s="9" t="s">
        <v>2027</v>
      </c>
      <c r="K474" s="9" t="s">
        <v>10</v>
      </c>
      <c r="L474" s="9" t="s">
        <v>19</v>
      </c>
      <c r="M474" s="9" t="s">
        <v>468</v>
      </c>
      <c r="N474" s="9">
        <f>LEN(O474) - LEN(SUBSTITUTE(O474, ";", ""))+1</f>
        <v>2</v>
      </c>
      <c r="O474" s="9" t="s">
        <v>2026</v>
      </c>
      <c r="P474" s="9" t="s">
        <v>229</v>
      </c>
      <c r="Q474" s="9" t="s">
        <v>2145</v>
      </c>
      <c r="R474" s="9" t="s">
        <v>1304</v>
      </c>
      <c r="S474" s="9" t="s">
        <v>1827</v>
      </c>
      <c r="W474" s="23"/>
    </row>
    <row r="475" spans="1:23" ht="163.5" customHeight="1" x14ac:dyDescent="0.35">
      <c r="A475" s="9" t="s">
        <v>1797</v>
      </c>
      <c r="B475" s="9" t="s">
        <v>904</v>
      </c>
      <c r="C475" s="9" t="s">
        <v>927</v>
      </c>
      <c r="D475" s="9" t="str">
        <f>B475&amp;" - "&amp;C475</f>
        <v>Supply &amp; Delivery - Delivery</v>
      </c>
      <c r="E475" s="9" t="s">
        <v>8</v>
      </c>
      <c r="G475" s="9" t="s">
        <v>1086</v>
      </c>
      <c r="H475" s="9" t="str">
        <f>IF(E475="x","Economic - "&amp;G475,"Environmental - "&amp;G475)</f>
        <v>Economic - Cost</v>
      </c>
      <c r="I475" s="12" t="s">
        <v>929</v>
      </c>
      <c r="J475" s="9" t="s">
        <v>930</v>
      </c>
      <c r="K475" s="9" t="s">
        <v>10</v>
      </c>
      <c r="L475" s="9" t="s">
        <v>19</v>
      </c>
      <c r="M475" s="9" t="s">
        <v>468</v>
      </c>
      <c r="N475" s="9">
        <f>LEN(O475) - LEN(SUBSTITUTE(O475, ";", ""))+1</f>
        <v>3</v>
      </c>
      <c r="O475" s="9" t="s">
        <v>2028</v>
      </c>
      <c r="P475" s="9" t="s">
        <v>39</v>
      </c>
      <c r="Q475" s="9" t="s">
        <v>1301</v>
      </c>
      <c r="R475" s="9" t="s">
        <v>1284</v>
      </c>
      <c r="S475" s="9" t="s">
        <v>1827</v>
      </c>
      <c r="W475" s="23"/>
    </row>
    <row r="476" spans="1:23" ht="116" x14ac:dyDescent="0.35">
      <c r="A476" s="9" t="s">
        <v>1795</v>
      </c>
      <c r="B476" s="9" t="s">
        <v>904</v>
      </c>
      <c r="C476" s="9" t="s">
        <v>927</v>
      </c>
      <c r="D476" s="9" t="str">
        <f>B476&amp;" - "&amp;C476</f>
        <v>Supply &amp; Delivery - Delivery</v>
      </c>
      <c r="E476" s="9" t="s">
        <v>8</v>
      </c>
      <c r="G476" s="9" t="s">
        <v>1086</v>
      </c>
      <c r="H476" s="9" t="str">
        <f>IF(E476="x","Economic - "&amp;G476,"Environmental - "&amp;G476)</f>
        <v>Economic - Cost</v>
      </c>
      <c r="I476" s="12" t="s">
        <v>931</v>
      </c>
      <c r="J476" s="9" t="s">
        <v>932</v>
      </c>
      <c r="K476" s="9" t="s">
        <v>10</v>
      </c>
      <c r="L476" s="9" t="s">
        <v>19</v>
      </c>
      <c r="M476" s="9" t="s">
        <v>468</v>
      </c>
      <c r="N476" s="9">
        <f>LEN(O476) - LEN(SUBSTITUTE(O476, ";", ""))+1</f>
        <v>1</v>
      </c>
      <c r="O476" s="9" t="s">
        <v>933</v>
      </c>
      <c r="P476" s="9" t="s">
        <v>39</v>
      </c>
      <c r="Q476" s="9" t="s">
        <v>117</v>
      </c>
      <c r="R476" s="9" t="s">
        <v>118</v>
      </c>
      <c r="S476" s="9" t="s">
        <v>17</v>
      </c>
      <c r="W476" s="23"/>
    </row>
    <row r="477" spans="1:23" ht="143" customHeight="1" x14ac:dyDescent="0.35">
      <c r="A477" s="9" t="s">
        <v>1798</v>
      </c>
      <c r="B477" s="9" t="s">
        <v>904</v>
      </c>
      <c r="C477" s="9" t="s">
        <v>927</v>
      </c>
      <c r="D477" s="9" t="str">
        <f>B477&amp;" - "&amp;C477</f>
        <v>Supply &amp; Delivery - Delivery</v>
      </c>
      <c r="E477" s="9" t="s">
        <v>8</v>
      </c>
      <c r="G477" s="9" t="s">
        <v>1090</v>
      </c>
      <c r="H477" s="9" t="str">
        <f>IF(E477="x","Economic - "&amp;G477,"Environmental - "&amp;G477)</f>
        <v>Economic - Other</v>
      </c>
      <c r="I477" s="12" t="s">
        <v>934</v>
      </c>
      <c r="J477" s="9" t="s">
        <v>1107</v>
      </c>
      <c r="K477" s="9" t="s">
        <v>10</v>
      </c>
      <c r="L477" s="9" t="s">
        <v>16</v>
      </c>
      <c r="M477" s="9" t="s">
        <v>468</v>
      </c>
      <c r="N477" s="9">
        <f>LEN(O477) - LEN(SUBSTITUTE(O477, ";", ""))+1</f>
        <v>5</v>
      </c>
      <c r="O477" s="9" t="s">
        <v>1057</v>
      </c>
      <c r="P477" s="9" t="s">
        <v>74</v>
      </c>
      <c r="Q477" s="9" t="s">
        <v>1355</v>
      </c>
      <c r="R477" s="9" t="s">
        <v>17</v>
      </c>
      <c r="S477" s="9" t="s">
        <v>1820</v>
      </c>
      <c r="W477" s="23"/>
    </row>
    <row r="478" spans="1:23" ht="104.5" customHeight="1" x14ac:dyDescent="0.35">
      <c r="A478" s="9" t="s">
        <v>1796</v>
      </c>
      <c r="B478" s="9" t="s">
        <v>904</v>
      </c>
      <c r="C478" s="9" t="s">
        <v>927</v>
      </c>
      <c r="D478" s="9" t="str">
        <f>B478&amp;" - "&amp;C478</f>
        <v>Supply &amp; Delivery - Delivery</v>
      </c>
      <c r="F478" s="9" t="s">
        <v>8</v>
      </c>
      <c r="G478" s="9" t="s">
        <v>1090</v>
      </c>
      <c r="H478" s="9" t="str">
        <f>IF(E478="x","Economic - "&amp;G478,"Environmental - "&amp;G478)</f>
        <v>Environmental - Other</v>
      </c>
      <c r="I478" s="12" t="s">
        <v>935</v>
      </c>
      <c r="J478" s="9" t="s">
        <v>936</v>
      </c>
      <c r="K478" s="9" t="s">
        <v>10</v>
      </c>
      <c r="L478" s="9" t="s">
        <v>57</v>
      </c>
      <c r="M478" s="9" t="s">
        <v>468</v>
      </c>
      <c r="N478" s="9">
        <f>LEN(O478) - LEN(SUBSTITUTE(O478, ";", ""))+1</f>
        <v>2</v>
      </c>
      <c r="O478" s="9" t="s">
        <v>73</v>
      </c>
      <c r="P478" s="9" t="s">
        <v>74</v>
      </c>
      <c r="Q478" s="9" t="s">
        <v>1293</v>
      </c>
      <c r="R478" s="9" t="s">
        <v>17</v>
      </c>
      <c r="S478" s="9" t="s">
        <v>1827</v>
      </c>
      <c r="W478" s="23"/>
    </row>
    <row r="479" spans="1:23" ht="88.5" customHeight="1" x14ac:dyDescent="0.35">
      <c r="A479" s="9" t="s">
        <v>1799</v>
      </c>
      <c r="B479" s="9" t="s">
        <v>904</v>
      </c>
      <c r="C479" s="9" t="s">
        <v>927</v>
      </c>
      <c r="D479" s="9" t="str">
        <f>B479&amp;" - "&amp;C479</f>
        <v>Supply &amp; Delivery - Delivery</v>
      </c>
      <c r="F479" s="9" t="s">
        <v>8</v>
      </c>
      <c r="G479" s="9" t="s">
        <v>1090</v>
      </c>
      <c r="H479" s="9" t="str">
        <f>IF(E479="x","Economic - "&amp;G479,"Environmental - "&amp;G479)</f>
        <v>Environmental - Other</v>
      </c>
      <c r="I479" s="12" t="s">
        <v>937</v>
      </c>
      <c r="J479" s="9" t="s">
        <v>2165</v>
      </c>
      <c r="K479" s="9" t="s">
        <v>10</v>
      </c>
      <c r="L479" s="9" t="s">
        <v>16</v>
      </c>
      <c r="M479" s="9" t="s">
        <v>468</v>
      </c>
      <c r="N479" s="9">
        <f>LEN(O479) - LEN(SUBSTITUTE(O479, ";", ""))+1</f>
        <v>1</v>
      </c>
      <c r="O479" s="9" t="s">
        <v>38</v>
      </c>
      <c r="P479" s="9" t="s">
        <v>39</v>
      </c>
      <c r="Q479" s="9" t="s">
        <v>40</v>
      </c>
      <c r="R479" s="9" t="s">
        <v>17</v>
      </c>
      <c r="S479" s="9" t="s">
        <v>1825</v>
      </c>
      <c r="W479" s="23"/>
    </row>
    <row r="480" spans="1:23" ht="79" customHeight="1" x14ac:dyDescent="0.35">
      <c r="A480" s="9" t="s">
        <v>1800</v>
      </c>
      <c r="B480" s="9" t="s">
        <v>904</v>
      </c>
      <c r="C480" s="9" t="s">
        <v>927</v>
      </c>
      <c r="D480" s="9" t="str">
        <f>B480&amp;" - "&amp;C480</f>
        <v>Supply &amp; Delivery - Delivery</v>
      </c>
      <c r="F480" s="9" t="s">
        <v>8</v>
      </c>
      <c r="G480" s="9" t="s">
        <v>1088</v>
      </c>
      <c r="H480" s="9" t="str">
        <f>IF(E480="x","Economic - "&amp;G480,"Environmental - "&amp;G480)</f>
        <v>Environmental - Pollution</v>
      </c>
      <c r="I480" s="12" t="s">
        <v>938</v>
      </c>
      <c r="J480" s="9" t="s">
        <v>939</v>
      </c>
      <c r="K480" s="9" t="s">
        <v>10</v>
      </c>
      <c r="L480" s="9" t="s">
        <v>57</v>
      </c>
      <c r="M480" s="9" t="s">
        <v>468</v>
      </c>
      <c r="N480" s="9">
        <f>LEN(O480) - LEN(SUBSTITUTE(O480, ";", ""))+1</f>
        <v>2</v>
      </c>
      <c r="O480" s="9" t="s">
        <v>73</v>
      </c>
      <c r="P480" s="9" t="s">
        <v>74</v>
      </c>
      <c r="Q480" s="9" t="s">
        <v>1293</v>
      </c>
      <c r="R480" s="9" t="s">
        <v>17</v>
      </c>
      <c r="S480" s="9" t="s">
        <v>1827</v>
      </c>
      <c r="W480" s="23"/>
    </row>
  </sheetData>
  <autoFilter ref="A3:X480" xr:uid="{00000000-0001-0000-0000-000000000000}">
    <sortState xmlns:xlrd2="http://schemas.microsoft.com/office/spreadsheetml/2017/richdata2" ref="A4:X480">
      <sortCondition ref="A3:A480"/>
    </sortState>
  </autoFilter>
  <mergeCells count="9">
    <mergeCell ref="T1:X1"/>
    <mergeCell ref="A2:H2"/>
    <mergeCell ref="I2:L2"/>
    <mergeCell ref="P2:S2"/>
    <mergeCell ref="M2:O2"/>
    <mergeCell ref="I1:L1"/>
    <mergeCell ref="M1:O1"/>
    <mergeCell ref="P1:S1"/>
    <mergeCell ref="A1:H1"/>
  </mergeCells>
  <phoneticPr fontId="7" type="noConversion"/>
  <conditionalFormatting sqref="A1:A1048576">
    <cfRule type="duplicateValues" dxfId="2" priority="1"/>
  </conditionalFormatting>
  <pageMargins left="0.75" right="0.75" top="1" bottom="1" header="0.5" footer="0.5"/>
  <pageSetup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xr:uid="{15995A94-A0DE-4317-8CF6-6EDA419D7A2C}">
          <x14:formula1>
            <xm:f>'Filter criteria'!$A$10:$A$13</xm:f>
          </x14:formula1>
          <xm:sqref>T4:V460</xm:sqref>
        </x14:dataValidation>
        <x14:dataValidation type="list" allowBlank="1" showInputMessage="1" xr:uid="{F6EA0552-8E08-4D2D-873C-75FEAA560A07}">
          <x14:formula1>
            <xm:f>'Filter criteria'!$A$16:$A$17</xm:f>
          </x14:formula1>
          <xm:sqref>W4:W480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846FB-98C2-4A4D-A845-9AF67985030C}">
  <sheetPr codeName="Tabelle4"/>
  <dimension ref="A1:B86"/>
  <sheetViews>
    <sheetView zoomScale="80" zoomScaleNormal="80" workbookViewId="0"/>
  </sheetViews>
  <sheetFormatPr defaultColWidth="10.90625" defaultRowHeight="14.5" x14ac:dyDescent="0.35"/>
  <cols>
    <col min="1" max="1" width="33.7265625" bestFit="1" customWidth="1"/>
    <col min="2" max="2" width="148.26953125" customWidth="1"/>
  </cols>
  <sheetData>
    <row r="1" spans="1:2" x14ac:dyDescent="0.35">
      <c r="A1" s="1" t="s">
        <v>968</v>
      </c>
      <c r="B1" s="1" t="s">
        <v>969</v>
      </c>
    </row>
    <row r="2" spans="1:2" x14ac:dyDescent="0.35">
      <c r="A2" s="2" t="s">
        <v>970</v>
      </c>
      <c r="B2" t="s">
        <v>971</v>
      </c>
    </row>
    <row r="3" spans="1:2" x14ac:dyDescent="0.35">
      <c r="A3" s="2" t="s">
        <v>972</v>
      </c>
      <c r="B3" t="s">
        <v>973</v>
      </c>
    </row>
    <row r="4" spans="1:2" x14ac:dyDescent="0.35">
      <c r="A4" s="2" t="s">
        <v>974</v>
      </c>
      <c r="B4" t="s">
        <v>2179</v>
      </c>
    </row>
    <row r="5" spans="1:2" x14ac:dyDescent="0.35">
      <c r="A5" s="2" t="s">
        <v>384</v>
      </c>
      <c r="B5" t="s">
        <v>2180</v>
      </c>
    </row>
    <row r="6" spans="1:2" x14ac:dyDescent="0.35">
      <c r="A6" s="2" t="s">
        <v>945</v>
      </c>
      <c r="B6" t="s">
        <v>975</v>
      </c>
    </row>
    <row r="7" spans="1:2" x14ac:dyDescent="0.35">
      <c r="A7" s="2" t="s">
        <v>836</v>
      </c>
      <c r="B7" t="s">
        <v>2181</v>
      </c>
    </row>
    <row r="8" spans="1:2" x14ac:dyDescent="0.35">
      <c r="A8" s="2" t="s">
        <v>276</v>
      </c>
      <c r="B8" t="s">
        <v>2182</v>
      </c>
    </row>
    <row r="9" spans="1:2" x14ac:dyDescent="0.35">
      <c r="A9" s="2" t="s">
        <v>976</v>
      </c>
      <c r="B9" t="s">
        <v>977</v>
      </c>
    </row>
    <row r="10" spans="1:2" x14ac:dyDescent="0.35">
      <c r="A10" s="2" t="s">
        <v>193</v>
      </c>
      <c r="B10" t="s">
        <v>978</v>
      </c>
    </row>
    <row r="11" spans="1:2" x14ac:dyDescent="0.35">
      <c r="A11" s="2" t="s">
        <v>1054</v>
      </c>
      <c r="B11" t="s">
        <v>979</v>
      </c>
    </row>
    <row r="12" spans="1:2" x14ac:dyDescent="0.35">
      <c r="A12" s="2" t="s">
        <v>1053</v>
      </c>
      <c r="B12" t="s">
        <v>2183</v>
      </c>
    </row>
    <row r="13" spans="1:2" x14ac:dyDescent="0.35">
      <c r="A13" s="2" t="s">
        <v>980</v>
      </c>
      <c r="B13" t="s">
        <v>981</v>
      </c>
    </row>
    <row r="14" spans="1:2" x14ac:dyDescent="0.35">
      <c r="A14" s="2" t="s">
        <v>982</v>
      </c>
      <c r="B14" t="s">
        <v>983</v>
      </c>
    </row>
    <row r="15" spans="1:2" x14ac:dyDescent="0.35">
      <c r="A15" s="2" t="s">
        <v>255</v>
      </c>
      <c r="B15" t="s">
        <v>984</v>
      </c>
    </row>
    <row r="16" spans="1:2" x14ac:dyDescent="0.35">
      <c r="A16" s="2" t="s">
        <v>274</v>
      </c>
      <c r="B16" t="s">
        <v>985</v>
      </c>
    </row>
    <row r="17" spans="1:2" x14ac:dyDescent="0.35">
      <c r="A17" s="2" t="s">
        <v>722</v>
      </c>
      <c r="B17" t="s">
        <v>2184</v>
      </c>
    </row>
    <row r="18" spans="1:2" x14ac:dyDescent="0.35">
      <c r="A18" s="2" t="s">
        <v>622</v>
      </c>
      <c r="B18" t="s">
        <v>986</v>
      </c>
    </row>
    <row r="19" spans="1:2" x14ac:dyDescent="0.35">
      <c r="A19" s="2" t="s">
        <v>987</v>
      </c>
      <c r="B19" t="s">
        <v>988</v>
      </c>
    </row>
    <row r="20" spans="1:2" x14ac:dyDescent="0.35">
      <c r="A20" s="2" t="s">
        <v>323</v>
      </c>
      <c r="B20" t="s">
        <v>989</v>
      </c>
    </row>
    <row r="21" spans="1:2" x14ac:dyDescent="0.35">
      <c r="A21" s="2" t="s">
        <v>990</v>
      </c>
      <c r="B21" t="s">
        <v>2185</v>
      </c>
    </row>
    <row r="22" spans="1:2" x14ac:dyDescent="0.35">
      <c r="A22" s="2" t="s">
        <v>895</v>
      </c>
      <c r="B22" t="s">
        <v>991</v>
      </c>
    </row>
    <row r="23" spans="1:2" x14ac:dyDescent="0.35">
      <c r="A23" s="2" t="s">
        <v>442</v>
      </c>
      <c r="B23" t="s">
        <v>992</v>
      </c>
    </row>
    <row r="24" spans="1:2" x14ac:dyDescent="0.35">
      <c r="A24" s="2" t="s">
        <v>993</v>
      </c>
      <c r="B24" t="s">
        <v>2186</v>
      </c>
    </row>
    <row r="25" spans="1:2" x14ac:dyDescent="0.35">
      <c r="A25" s="2" t="s">
        <v>615</v>
      </c>
      <c r="B25" t="s">
        <v>2187</v>
      </c>
    </row>
    <row r="26" spans="1:2" x14ac:dyDescent="0.35">
      <c r="A26" s="2" t="s">
        <v>994</v>
      </c>
      <c r="B26" t="s">
        <v>995</v>
      </c>
    </row>
    <row r="27" spans="1:2" x14ac:dyDescent="0.35">
      <c r="A27" s="2" t="s">
        <v>207</v>
      </c>
      <c r="B27" t="s">
        <v>996</v>
      </c>
    </row>
    <row r="28" spans="1:2" x14ac:dyDescent="0.35">
      <c r="A28" s="2" t="s">
        <v>215</v>
      </c>
      <c r="B28" t="s">
        <v>997</v>
      </c>
    </row>
    <row r="29" spans="1:2" x14ac:dyDescent="0.35">
      <c r="A29" s="2" t="s">
        <v>92</v>
      </c>
      <c r="B29" t="s">
        <v>998</v>
      </c>
    </row>
    <row r="30" spans="1:2" x14ac:dyDescent="0.35">
      <c r="A30" s="2" t="s">
        <v>999</v>
      </c>
      <c r="B30" t="s">
        <v>1000</v>
      </c>
    </row>
    <row r="31" spans="1:2" x14ac:dyDescent="0.35">
      <c r="A31" s="2" t="s">
        <v>368</v>
      </c>
      <c r="B31" t="s">
        <v>2188</v>
      </c>
    </row>
    <row r="32" spans="1:2" x14ac:dyDescent="0.35">
      <c r="A32" s="2" t="s">
        <v>1001</v>
      </c>
      <c r="B32" t="s">
        <v>1002</v>
      </c>
    </row>
    <row r="33" spans="1:2" x14ac:dyDescent="0.35">
      <c r="A33" s="2" t="s">
        <v>28</v>
      </c>
      <c r="B33" t="s">
        <v>1003</v>
      </c>
    </row>
    <row r="34" spans="1:2" x14ac:dyDescent="0.35">
      <c r="A34" s="2" t="s">
        <v>933</v>
      </c>
      <c r="B34" t="s">
        <v>1004</v>
      </c>
    </row>
    <row r="35" spans="1:2" x14ac:dyDescent="0.35">
      <c r="A35" s="2" t="s">
        <v>115</v>
      </c>
      <c r="B35" t="s">
        <v>1005</v>
      </c>
    </row>
    <row r="36" spans="1:2" x14ac:dyDescent="0.35">
      <c r="A36" s="2" t="s">
        <v>177</v>
      </c>
      <c r="B36" t="s">
        <v>1006</v>
      </c>
    </row>
    <row r="37" spans="1:2" x14ac:dyDescent="0.35">
      <c r="A37" s="2" t="s">
        <v>1007</v>
      </c>
      <c r="B37" t="s">
        <v>1008</v>
      </c>
    </row>
    <row r="38" spans="1:2" x14ac:dyDescent="0.35">
      <c r="A38" s="2" t="s">
        <v>581</v>
      </c>
      <c r="B38" t="s">
        <v>1009</v>
      </c>
    </row>
    <row r="39" spans="1:2" x14ac:dyDescent="0.35">
      <c r="A39" s="2" t="s">
        <v>1010</v>
      </c>
      <c r="B39" t="s">
        <v>2189</v>
      </c>
    </row>
    <row r="40" spans="1:2" x14ac:dyDescent="0.35">
      <c r="A40" s="2" t="s">
        <v>1011</v>
      </c>
      <c r="B40" t="s">
        <v>1012</v>
      </c>
    </row>
    <row r="41" spans="1:2" x14ac:dyDescent="0.35">
      <c r="A41" s="2" t="s">
        <v>144</v>
      </c>
      <c r="B41" t="s">
        <v>2190</v>
      </c>
    </row>
    <row r="42" spans="1:2" x14ac:dyDescent="0.35">
      <c r="A42" s="2" t="s">
        <v>257</v>
      </c>
      <c r="B42" t="s">
        <v>2191</v>
      </c>
    </row>
    <row r="43" spans="1:2" x14ac:dyDescent="0.35">
      <c r="A43" s="2" t="s">
        <v>38</v>
      </c>
      <c r="B43" t="s">
        <v>1013</v>
      </c>
    </row>
    <row r="44" spans="1:2" x14ac:dyDescent="0.35">
      <c r="A44" s="2" t="s">
        <v>458</v>
      </c>
      <c r="B44" t="s">
        <v>1015</v>
      </c>
    </row>
    <row r="45" spans="1:2" x14ac:dyDescent="0.35">
      <c r="A45" s="2" t="s">
        <v>123</v>
      </c>
      <c r="B45" t="s">
        <v>1014</v>
      </c>
    </row>
    <row r="46" spans="1:2" x14ac:dyDescent="0.35">
      <c r="A46" s="2" t="s">
        <v>492</v>
      </c>
      <c r="B46" t="s">
        <v>2192</v>
      </c>
    </row>
    <row r="47" spans="1:2" x14ac:dyDescent="0.35">
      <c r="A47" s="2" t="s">
        <v>344</v>
      </c>
      <c r="B47" t="s">
        <v>2193</v>
      </c>
    </row>
    <row r="48" spans="1:2" x14ac:dyDescent="0.35">
      <c r="A48" s="2" t="s">
        <v>1016</v>
      </c>
      <c r="B48" t="s">
        <v>1017</v>
      </c>
    </row>
    <row r="49" spans="1:2" x14ac:dyDescent="0.35">
      <c r="A49" s="2" t="s">
        <v>650</v>
      </c>
      <c r="B49" t="s">
        <v>1018</v>
      </c>
    </row>
    <row r="50" spans="1:2" x14ac:dyDescent="0.35">
      <c r="A50" s="2" t="s">
        <v>102</v>
      </c>
      <c r="B50" t="s">
        <v>2194</v>
      </c>
    </row>
    <row r="51" spans="1:2" x14ac:dyDescent="0.35">
      <c r="A51" s="2" t="s">
        <v>1019</v>
      </c>
      <c r="B51" t="s">
        <v>2195</v>
      </c>
    </row>
    <row r="52" spans="1:2" x14ac:dyDescent="0.35">
      <c r="A52" s="2" t="s">
        <v>1020</v>
      </c>
      <c r="B52" t="s">
        <v>2196</v>
      </c>
    </row>
    <row r="53" spans="1:2" x14ac:dyDescent="0.35">
      <c r="A53" s="2" t="s">
        <v>1055</v>
      </c>
      <c r="B53" t="s">
        <v>2197</v>
      </c>
    </row>
    <row r="54" spans="1:2" x14ac:dyDescent="0.35">
      <c r="A54" s="2" t="s">
        <v>1058</v>
      </c>
      <c r="B54" t="s">
        <v>1021</v>
      </c>
    </row>
    <row r="55" spans="1:2" x14ac:dyDescent="0.35">
      <c r="A55" s="2" t="s">
        <v>271</v>
      </c>
      <c r="B55" t="s">
        <v>2198</v>
      </c>
    </row>
    <row r="56" spans="1:2" x14ac:dyDescent="0.35">
      <c r="A56" s="2" t="s">
        <v>473</v>
      </c>
      <c r="B56" t="s">
        <v>1022</v>
      </c>
    </row>
    <row r="57" spans="1:2" x14ac:dyDescent="0.35">
      <c r="A57" s="2" t="s">
        <v>1023</v>
      </c>
      <c r="B57" t="s">
        <v>2199</v>
      </c>
    </row>
    <row r="58" spans="1:2" x14ac:dyDescent="0.35">
      <c r="A58" s="2" t="s">
        <v>58</v>
      </c>
      <c r="B58" t="s">
        <v>1024</v>
      </c>
    </row>
    <row r="59" spans="1:2" x14ac:dyDescent="0.35">
      <c r="A59" s="2" t="s">
        <v>192</v>
      </c>
      <c r="B59" t="s">
        <v>2200</v>
      </c>
    </row>
    <row r="60" spans="1:2" x14ac:dyDescent="0.35">
      <c r="A60" s="2" t="s">
        <v>200</v>
      </c>
      <c r="B60" t="s">
        <v>2201</v>
      </c>
    </row>
    <row r="61" spans="1:2" x14ac:dyDescent="0.35">
      <c r="A61" s="2" t="s">
        <v>1025</v>
      </c>
      <c r="B61" t="s">
        <v>1026</v>
      </c>
    </row>
    <row r="62" spans="1:2" x14ac:dyDescent="0.35">
      <c r="A62" s="2" t="s">
        <v>1027</v>
      </c>
      <c r="B62" t="s">
        <v>1028</v>
      </c>
    </row>
    <row r="63" spans="1:2" x14ac:dyDescent="0.35">
      <c r="A63" s="2" t="s">
        <v>60</v>
      </c>
      <c r="B63" t="s">
        <v>1029</v>
      </c>
    </row>
    <row r="64" spans="1:2" x14ac:dyDescent="0.35">
      <c r="A64" s="2" t="s">
        <v>88</v>
      </c>
      <c r="B64" t="s">
        <v>1030</v>
      </c>
    </row>
    <row r="65" spans="1:2" x14ac:dyDescent="0.35">
      <c r="A65" s="2" t="s">
        <v>1031</v>
      </c>
      <c r="B65" t="s">
        <v>1032</v>
      </c>
    </row>
    <row r="66" spans="1:2" x14ac:dyDescent="0.35">
      <c r="A66" s="2" t="s">
        <v>1033</v>
      </c>
      <c r="B66" t="s">
        <v>2202</v>
      </c>
    </row>
    <row r="67" spans="1:2" x14ac:dyDescent="0.35">
      <c r="A67" s="2" t="s">
        <v>1059</v>
      </c>
      <c r="B67" t="s">
        <v>1035</v>
      </c>
    </row>
    <row r="68" spans="1:2" x14ac:dyDescent="0.35">
      <c r="A68" s="2" t="s">
        <v>1069</v>
      </c>
      <c r="B68" t="s">
        <v>1036</v>
      </c>
    </row>
    <row r="69" spans="1:2" x14ac:dyDescent="0.35">
      <c r="A69" s="2" t="s">
        <v>1034</v>
      </c>
      <c r="B69" t="s">
        <v>2203</v>
      </c>
    </row>
    <row r="70" spans="1:2" x14ac:dyDescent="0.35">
      <c r="A70" s="2" t="s">
        <v>1037</v>
      </c>
      <c r="B70" t="s">
        <v>1038</v>
      </c>
    </row>
    <row r="71" spans="1:2" x14ac:dyDescent="0.35">
      <c r="A71" s="2" t="s">
        <v>525</v>
      </c>
      <c r="B71" t="s">
        <v>2204</v>
      </c>
    </row>
    <row r="72" spans="1:2" x14ac:dyDescent="0.35">
      <c r="A72" s="2" t="s">
        <v>1039</v>
      </c>
      <c r="B72" t="s">
        <v>2205</v>
      </c>
    </row>
    <row r="73" spans="1:2" x14ac:dyDescent="0.35">
      <c r="A73" s="2" t="s">
        <v>337</v>
      </c>
      <c r="B73" t="s">
        <v>2206</v>
      </c>
    </row>
    <row r="74" spans="1:2" x14ac:dyDescent="0.35">
      <c r="A74" s="2" t="s">
        <v>303</v>
      </c>
      <c r="B74" t="s">
        <v>2207</v>
      </c>
    </row>
    <row r="75" spans="1:2" x14ac:dyDescent="0.35">
      <c r="A75" s="2" t="s">
        <v>1040</v>
      </c>
      <c r="B75" t="s">
        <v>1041</v>
      </c>
    </row>
    <row r="76" spans="1:2" x14ac:dyDescent="0.35">
      <c r="A76" s="2" t="s">
        <v>2085</v>
      </c>
      <c r="B76" t="s">
        <v>1042</v>
      </c>
    </row>
    <row r="77" spans="1:2" x14ac:dyDescent="0.35">
      <c r="A77" s="2" t="s">
        <v>1043</v>
      </c>
      <c r="B77" t="s">
        <v>1044</v>
      </c>
    </row>
    <row r="78" spans="1:2" x14ac:dyDescent="0.35">
      <c r="A78" s="2" t="s">
        <v>389</v>
      </c>
      <c r="B78" t="s">
        <v>1045</v>
      </c>
    </row>
    <row r="79" spans="1:2" x14ac:dyDescent="0.35">
      <c r="A79" s="2" t="s">
        <v>1046</v>
      </c>
      <c r="B79" t="s">
        <v>1047</v>
      </c>
    </row>
    <row r="80" spans="1:2" x14ac:dyDescent="0.35">
      <c r="A80" s="2" t="s">
        <v>416</v>
      </c>
      <c r="B80" t="s">
        <v>2208</v>
      </c>
    </row>
    <row r="81" spans="1:2" x14ac:dyDescent="0.35">
      <c r="A81" s="2" t="s">
        <v>96</v>
      </c>
      <c r="B81" t="s">
        <v>1048</v>
      </c>
    </row>
    <row r="82" spans="1:2" x14ac:dyDescent="0.35">
      <c r="A82" s="2" t="s">
        <v>1049</v>
      </c>
      <c r="B82" t="s">
        <v>1050</v>
      </c>
    </row>
    <row r="83" spans="1:2" x14ac:dyDescent="0.35">
      <c r="A83" s="2" t="s">
        <v>315</v>
      </c>
      <c r="B83" t="s">
        <v>1051</v>
      </c>
    </row>
    <row r="86" spans="1:2" x14ac:dyDescent="0.35">
      <c r="A86" s="2"/>
    </row>
  </sheetData>
  <autoFilter ref="A1:B83" xr:uid="{C91846FB-98C2-4A4D-A845-9AF67985030C}"/>
  <pageMargins left="0.7" right="0.7" top="0.78740157499999996" bottom="0.78740157499999996"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D01454-21A2-4400-A3B4-CD984AC895F7}">
  <sheetPr codeName="Tabelle5"/>
  <dimension ref="A1:K64"/>
  <sheetViews>
    <sheetView workbookViewId="0">
      <selection activeCell="E10" sqref="E10"/>
    </sheetView>
  </sheetViews>
  <sheetFormatPr defaultColWidth="10.90625" defaultRowHeight="14.5" x14ac:dyDescent="0.35"/>
  <cols>
    <col min="1" max="1" width="15.453125" customWidth="1"/>
  </cols>
  <sheetData>
    <row r="1" spans="1:11" x14ac:dyDescent="0.35">
      <c r="A1" s="1" t="s">
        <v>1079</v>
      </c>
      <c r="B1" s="1"/>
      <c r="E1" s="25" t="s">
        <v>1868</v>
      </c>
      <c r="G1" s="25" t="s">
        <v>5</v>
      </c>
      <c r="I1" s="25" t="s">
        <v>1877</v>
      </c>
      <c r="K1" s="25" t="s">
        <v>1878</v>
      </c>
    </row>
    <row r="2" spans="1:11" x14ac:dyDescent="0.35">
      <c r="A2" s="26"/>
      <c r="B2" s="26"/>
      <c r="E2" s="27"/>
      <c r="G2" s="27"/>
      <c r="I2" s="27"/>
      <c r="K2" s="27"/>
    </row>
    <row r="3" spans="1:11" x14ac:dyDescent="0.35">
      <c r="E3" t="s">
        <v>1332</v>
      </c>
      <c r="G3" t="s">
        <v>1872</v>
      </c>
      <c r="I3" t="s">
        <v>39</v>
      </c>
      <c r="K3" t="s">
        <v>1879</v>
      </c>
    </row>
    <row r="4" spans="1:11" x14ac:dyDescent="0.35">
      <c r="A4" t="s">
        <v>1072</v>
      </c>
      <c r="E4" t="s">
        <v>1869</v>
      </c>
      <c r="G4" t="s">
        <v>30</v>
      </c>
      <c r="I4" t="s">
        <v>29</v>
      </c>
      <c r="K4" t="s">
        <v>1880</v>
      </c>
    </row>
    <row r="5" spans="1:11" x14ac:dyDescent="0.35">
      <c r="A5" t="s">
        <v>1075</v>
      </c>
      <c r="E5" t="s">
        <v>85</v>
      </c>
      <c r="G5" t="s">
        <v>1873</v>
      </c>
      <c r="I5" t="s">
        <v>243</v>
      </c>
      <c r="K5" t="s">
        <v>1881</v>
      </c>
    </row>
    <row r="6" spans="1:11" x14ac:dyDescent="0.35">
      <c r="A6" t="s">
        <v>1074</v>
      </c>
      <c r="E6" t="s">
        <v>89</v>
      </c>
      <c r="G6" t="s">
        <v>244</v>
      </c>
      <c r="I6" t="s">
        <v>316</v>
      </c>
      <c r="K6" t="s">
        <v>1828</v>
      </c>
    </row>
    <row r="7" spans="1:11" x14ac:dyDescent="0.35">
      <c r="A7" t="s">
        <v>1073</v>
      </c>
      <c r="E7" t="s">
        <v>1870</v>
      </c>
      <c r="G7" t="s">
        <v>194</v>
      </c>
      <c r="I7" t="s">
        <v>84</v>
      </c>
      <c r="K7" t="s">
        <v>17</v>
      </c>
    </row>
    <row r="8" spans="1:11" x14ac:dyDescent="0.35">
      <c r="E8" t="s">
        <v>1871</v>
      </c>
      <c r="G8" t="s">
        <v>98</v>
      </c>
    </row>
    <row r="9" spans="1:11" x14ac:dyDescent="0.35">
      <c r="A9" s="13" t="s">
        <v>1837</v>
      </c>
      <c r="E9" t="s">
        <v>17</v>
      </c>
      <c r="G9" t="s">
        <v>145</v>
      </c>
    </row>
    <row r="10" spans="1:11" x14ac:dyDescent="0.35">
      <c r="A10" s="4"/>
      <c r="G10" t="s">
        <v>117</v>
      </c>
    </row>
    <row r="11" spans="1:11" x14ac:dyDescent="0.35">
      <c r="A11" t="s">
        <v>1838</v>
      </c>
      <c r="G11" t="s">
        <v>443</v>
      </c>
    </row>
    <row r="12" spans="1:11" x14ac:dyDescent="0.35">
      <c r="A12" s="15" t="s">
        <v>1839</v>
      </c>
      <c r="G12" t="s">
        <v>1874</v>
      </c>
    </row>
    <row r="13" spans="1:11" x14ac:dyDescent="0.35">
      <c r="A13" s="14" t="s">
        <v>1840</v>
      </c>
      <c r="G13" t="s">
        <v>124</v>
      </c>
    </row>
    <row r="14" spans="1:11" x14ac:dyDescent="0.35">
      <c r="G14" t="s">
        <v>526</v>
      </c>
    </row>
    <row r="15" spans="1:11" x14ac:dyDescent="0.35">
      <c r="A15" t="s">
        <v>1206</v>
      </c>
      <c r="G15" t="s">
        <v>1875</v>
      </c>
    </row>
    <row r="16" spans="1:11" x14ac:dyDescent="0.35">
      <c r="G16" t="s">
        <v>1876</v>
      </c>
    </row>
    <row r="17" spans="1:7" x14ac:dyDescent="0.35">
      <c r="A17" t="s">
        <v>8</v>
      </c>
      <c r="G17" t="s">
        <v>17</v>
      </c>
    </row>
    <row r="19" spans="1:7" x14ac:dyDescent="0.35">
      <c r="A19" s="4" t="s">
        <v>1</v>
      </c>
    </row>
    <row r="20" spans="1:7" x14ac:dyDescent="0.35">
      <c r="A20" t="s">
        <v>7</v>
      </c>
    </row>
    <row r="21" spans="1:7" x14ac:dyDescent="0.35">
      <c r="A21" t="s">
        <v>294</v>
      </c>
    </row>
    <row r="22" spans="1:7" x14ac:dyDescent="0.35">
      <c r="A22" t="s">
        <v>217</v>
      </c>
    </row>
    <row r="23" spans="1:7" x14ac:dyDescent="0.35">
      <c r="A23" t="s">
        <v>311</v>
      </c>
    </row>
    <row r="24" spans="1:7" x14ac:dyDescent="0.35">
      <c r="A24" t="s">
        <v>1364</v>
      </c>
    </row>
    <row r="25" spans="1:7" x14ac:dyDescent="0.35">
      <c r="A25" t="s">
        <v>504</v>
      </c>
    </row>
    <row r="26" spans="1:7" x14ac:dyDescent="0.35">
      <c r="A26" t="s">
        <v>547</v>
      </c>
    </row>
    <row r="27" spans="1:7" x14ac:dyDescent="0.35">
      <c r="A27" t="s">
        <v>576</v>
      </c>
    </row>
    <row r="28" spans="1:7" x14ac:dyDescent="0.35">
      <c r="A28" t="s">
        <v>691</v>
      </c>
    </row>
    <row r="29" spans="1:7" x14ac:dyDescent="0.35">
      <c r="A29" t="s">
        <v>351</v>
      </c>
    </row>
    <row r="30" spans="1:7" x14ac:dyDescent="0.35">
      <c r="A30" t="s">
        <v>437</v>
      </c>
    </row>
    <row r="31" spans="1:7" x14ac:dyDescent="0.35">
      <c r="A31" t="s">
        <v>451</v>
      </c>
    </row>
    <row r="32" spans="1:7" x14ac:dyDescent="0.35">
      <c r="A32" t="s">
        <v>847</v>
      </c>
    </row>
    <row r="33" spans="1:1" x14ac:dyDescent="0.35">
      <c r="A33" t="s">
        <v>726</v>
      </c>
    </row>
    <row r="34" spans="1:1" x14ac:dyDescent="0.35">
      <c r="A34" t="s">
        <v>708</v>
      </c>
    </row>
    <row r="35" spans="1:1" x14ac:dyDescent="0.35">
      <c r="A35" t="s">
        <v>905</v>
      </c>
    </row>
    <row r="36" spans="1:1" x14ac:dyDescent="0.35">
      <c r="A36" t="s">
        <v>927</v>
      </c>
    </row>
    <row r="39" spans="1:1" x14ac:dyDescent="0.35">
      <c r="A39" s="4" t="s">
        <v>1076</v>
      </c>
    </row>
    <row r="40" spans="1:1" x14ac:dyDescent="0.35">
      <c r="A40" t="s">
        <v>6</v>
      </c>
    </row>
    <row r="41" spans="1:1" x14ac:dyDescent="0.35">
      <c r="A41" t="s">
        <v>503</v>
      </c>
    </row>
    <row r="42" spans="1:1" x14ac:dyDescent="0.35">
      <c r="A42" t="s">
        <v>350</v>
      </c>
    </row>
    <row r="43" spans="1:1" x14ac:dyDescent="0.35">
      <c r="A43" t="s">
        <v>707</v>
      </c>
    </row>
    <row r="44" spans="1:1" x14ac:dyDescent="0.35">
      <c r="A44" t="s">
        <v>904</v>
      </c>
    </row>
    <row r="46" spans="1:1" x14ac:dyDescent="0.35">
      <c r="A46" t="s">
        <v>1194</v>
      </c>
    </row>
    <row r="47" spans="1:1" x14ac:dyDescent="0.35">
      <c r="A47" t="s">
        <v>2</v>
      </c>
    </row>
    <row r="48" spans="1:1" x14ac:dyDescent="0.35">
      <c r="A48" t="s">
        <v>3</v>
      </c>
    </row>
    <row r="50" spans="1:1" x14ac:dyDescent="0.35">
      <c r="A50" t="s">
        <v>1208</v>
      </c>
    </row>
    <row r="51" spans="1:1" x14ac:dyDescent="0.35">
      <c r="A51" t="s">
        <v>1086</v>
      </c>
    </row>
    <row r="52" spans="1:1" x14ac:dyDescent="0.35">
      <c r="A52" t="s">
        <v>603</v>
      </c>
    </row>
    <row r="53" spans="1:1" x14ac:dyDescent="0.35">
      <c r="A53" t="s">
        <v>518</v>
      </c>
    </row>
    <row r="54" spans="1:1" x14ac:dyDescent="0.35">
      <c r="A54" t="s">
        <v>1090</v>
      </c>
    </row>
    <row r="55" spans="1:1" x14ac:dyDescent="0.35">
      <c r="A55" t="s">
        <v>1199</v>
      </c>
    </row>
    <row r="56" spans="1:1" x14ac:dyDescent="0.35">
      <c r="A56" t="s">
        <v>1088</v>
      </c>
    </row>
    <row r="57" spans="1:1" x14ac:dyDescent="0.35">
      <c r="A57" t="s">
        <v>1198</v>
      </c>
    </row>
    <row r="58" spans="1:1" x14ac:dyDescent="0.35">
      <c r="A58" t="s">
        <v>1089</v>
      </c>
    </row>
    <row r="59" spans="1:1" x14ac:dyDescent="0.35">
      <c r="A59" t="s">
        <v>1197</v>
      </c>
    </row>
    <row r="60" spans="1:1" x14ac:dyDescent="0.35">
      <c r="A60" t="s">
        <v>1090</v>
      </c>
    </row>
    <row r="62" spans="1:1" x14ac:dyDescent="0.35">
      <c r="A62" t="s">
        <v>1864</v>
      </c>
    </row>
    <row r="63" spans="1:1" x14ac:dyDescent="0.35">
      <c r="A63" t="s">
        <v>10</v>
      </c>
    </row>
    <row r="64" spans="1:1" x14ac:dyDescent="0.35">
      <c r="A64" t="s">
        <v>342</v>
      </c>
    </row>
  </sheetData>
  <pageMargins left="0.7" right="0.7" top="0.78740157499999996" bottom="0.78740157499999996" header="0.3" footer="0.3"/>
  <tableParts count="6">
    <tablePart r:id="rId1"/>
    <tablePart r:id="rId2"/>
    <tablePart r:id="rId3"/>
    <tablePart r:id="rId4"/>
    <tablePart r:id="rId5"/>
    <tablePart r:id="rId6"/>
  </tablePart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8</vt:i4>
      </vt:variant>
      <vt:variant>
        <vt:lpstr>Named Ranges</vt:lpstr>
      </vt:variant>
      <vt:variant>
        <vt:i4>2</vt:i4>
      </vt:variant>
    </vt:vector>
  </HeadingPairs>
  <TitlesOfParts>
    <vt:vector size="10" baseType="lpstr">
      <vt:lpstr>1. &amp; 2. Start</vt:lpstr>
      <vt:lpstr>3. Filtered List</vt:lpstr>
      <vt:lpstr>4. Custom Indicators</vt:lpstr>
      <vt:lpstr>5. Review</vt:lpstr>
      <vt:lpstr>6. Final Set</vt:lpstr>
      <vt:lpstr>3b. Full List</vt:lpstr>
      <vt:lpstr>References</vt:lpstr>
      <vt:lpstr>Filter criteria</vt:lpstr>
      <vt:lpstr>'3. Filtered List'!Extract</vt:lpstr>
      <vt:lpstr>'3b. Full List'!Extract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Stefanie Keil</dc:creator>
  <cp:lastModifiedBy>Stefanie Keil</cp:lastModifiedBy>
  <cp:lastPrinted>2024-02-09T08:01:16Z</cp:lastPrinted>
  <dcterms:created xsi:type="dcterms:W3CDTF">2024-02-05T10:42:19Z</dcterms:created>
  <dcterms:modified xsi:type="dcterms:W3CDTF">2024-04-14T09:13:57Z</dcterms:modified>
</cp:coreProperties>
</file>